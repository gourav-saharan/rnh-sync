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kmailsp-my.sharepoint.com/personal/kamlendra_deora_jkmail_com/Documents/Desktop/"/>
    </mc:Choice>
  </mc:AlternateContent>
  <xr:revisionPtr revIDLastSave="623" documentId="11_D05E93AA64C7D321073DD2D4E7C855546D6301A7" xr6:coauthVersionLast="47" xr6:coauthVersionMax="47" xr10:uidLastSave="{162AC53F-7B69-48CD-99C6-F526D00A99FA}"/>
  <bookViews>
    <workbookView xWindow="-110" yWindow="-110" windowWidth="19420" windowHeight="10300" tabRatio="828" activeTab="1" xr2:uid="{00000000-000D-0000-FFFF-FFFF00000000}"/>
  </bookViews>
  <sheets>
    <sheet name="Tabelle" sheetId="2" r:id="rId1"/>
    <sheet name="dryhandling1" sheetId="1" r:id="rId2"/>
    <sheet name="dryhandling2" sheetId="26" r:id="rId3"/>
    <sheet name="Description" sheetId="25" r:id="rId4"/>
  </sheets>
  <definedNames>
    <definedName name="_xlnm.Print_Area" localSheetId="3">Description!$A$1:$F$44</definedName>
    <definedName name="_xlnm.Print_Area" localSheetId="1">dryhandling1!$A$1:$S$32</definedName>
    <definedName name="_xlnm.Print_Area" localSheetId="2">dryhandling2!$A$1:$S$32</definedName>
    <definedName name="_xlnm.Print_Area" localSheetId="0">Tabelle!$A$1:$H$50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26" l="1"/>
  <c r="K7" i="26"/>
  <c r="D8" i="26"/>
  <c r="G7" i="26"/>
  <c r="P6" i="26"/>
  <c r="L6" i="26"/>
  <c r="H6" i="26"/>
  <c r="D6" i="26"/>
  <c r="D5" i="26"/>
  <c r="P30" i="26"/>
  <c r="L30" i="26"/>
  <c r="H30" i="26"/>
  <c r="D30" i="26"/>
  <c r="P24" i="26"/>
  <c r="P31" i="26" s="1"/>
  <c r="L24" i="26"/>
  <c r="H24" i="26"/>
  <c r="D24" i="26"/>
  <c r="P17" i="26"/>
  <c r="L17" i="26"/>
  <c r="H17" i="26"/>
  <c r="D17" i="26"/>
  <c r="P8" i="26"/>
  <c r="L8" i="26"/>
  <c r="H8" i="26"/>
  <c r="S7" i="26"/>
  <c r="P7" i="26"/>
  <c r="L7" i="26"/>
  <c r="H7" i="26"/>
  <c r="D7" i="26"/>
  <c r="P5" i="26"/>
  <c r="L5" i="26"/>
  <c r="H5" i="26"/>
  <c r="C5" i="26"/>
  <c r="N3" i="26"/>
  <c r="J3" i="26"/>
  <c r="R2" i="26"/>
  <c r="N2" i="26"/>
  <c r="J2" i="26"/>
  <c r="C2" i="26"/>
  <c r="D30" i="1"/>
  <c r="L31" i="26" l="1"/>
  <c r="H31" i="26"/>
  <c r="D31" i="26"/>
  <c r="P30" i="1"/>
  <c r="P24" i="1"/>
  <c r="P17" i="1"/>
  <c r="L30" i="1"/>
  <c r="L24" i="1"/>
  <c r="L17" i="1"/>
  <c r="H30" i="1"/>
  <c r="H24" i="1"/>
  <c r="H17" i="1"/>
  <c r="D24" i="1"/>
  <c r="D17" i="1"/>
  <c r="C2" i="1"/>
  <c r="D31" i="1" l="1"/>
  <c r="L31" i="1"/>
  <c r="P31" i="1"/>
  <c r="H31" i="1"/>
  <c r="P7" i="1"/>
  <c r="L7" i="1"/>
  <c r="H7" i="1"/>
  <c r="D7" i="1"/>
  <c r="S7" i="1"/>
  <c r="O7" i="1"/>
  <c r="K7" i="1"/>
  <c r="G7" i="1"/>
  <c r="C5" i="1"/>
  <c r="H5" i="1"/>
  <c r="R2" i="1"/>
  <c r="P8" i="1"/>
  <c r="P6" i="1"/>
  <c r="P5" i="1"/>
  <c r="N3" i="1"/>
  <c r="N2" i="1"/>
  <c r="J3" i="1"/>
  <c r="J2" i="1"/>
  <c r="L8" i="1"/>
  <c r="L6" i="1"/>
  <c r="L5" i="1"/>
  <c r="H8" i="1"/>
  <c r="H6" i="1"/>
  <c r="D8" i="1"/>
  <c r="D6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R.Sven</author>
  </authors>
  <commentList>
    <comment ref="C5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no. Of the project
001.11
</t>
        </r>
      </text>
    </comment>
    <comment ref="C15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Set no.
</t>
        </r>
      </text>
    </comment>
    <comment ref="D15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Manufactor
</t>
        </r>
      </text>
    </comment>
    <comment ref="F1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Pattern</t>
        </r>
      </text>
    </comment>
    <comment ref="G1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H1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C17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Set no.
</t>
        </r>
      </text>
    </comment>
    <comment ref="D17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Manufactor
</t>
        </r>
      </text>
    </comment>
    <comment ref="F17" authorId="0" shapeId="0" xr:uid="{478DC41A-CD97-43CD-BA4C-02A0A8EEC8F7}">
      <text>
        <r>
          <rPr>
            <b/>
            <sz val="9"/>
            <color indexed="81"/>
            <rFont val="Tahoma"/>
            <family val="2"/>
          </rPr>
          <t>Pattern</t>
        </r>
      </text>
    </comment>
    <comment ref="G17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H17" authorId="0" shapeId="0" xr:uid="{1169AE61-A963-4A15-B260-5388CD3C8BBC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C19" authorId="0" shapeId="0" xr:uid="{00000000-0006-0000-0000-00000C000000}">
      <text>
        <r>
          <rPr>
            <sz val="9"/>
            <color indexed="81"/>
            <rFont val="Tahoma"/>
            <family val="2"/>
          </rPr>
          <t xml:space="preserve">Set no.
</t>
        </r>
      </text>
    </comment>
    <comment ref="D19" authorId="0" shapeId="0" xr:uid="{00000000-0006-0000-0000-00000D000000}">
      <text>
        <r>
          <rPr>
            <sz val="9"/>
            <color indexed="81"/>
            <rFont val="Tahoma"/>
            <family val="2"/>
          </rPr>
          <t xml:space="preserve">Manufactor
</t>
        </r>
      </text>
    </comment>
    <comment ref="F19" authorId="0" shapeId="0" xr:uid="{6BD190A5-9606-47AD-89CB-32796E790224}">
      <text>
        <r>
          <rPr>
            <b/>
            <sz val="9"/>
            <color indexed="81"/>
            <rFont val="Tahoma"/>
            <family val="2"/>
          </rPr>
          <t>Pattern</t>
        </r>
      </text>
    </comment>
    <comment ref="G1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H1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C21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Set no.
</t>
        </r>
      </text>
    </comment>
    <comment ref="D21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Manufactor
</t>
        </r>
      </text>
    </comment>
    <comment ref="F21" authorId="0" shapeId="0" xr:uid="{E0F04879-665A-486F-978B-3107F493C04F}">
      <text>
        <r>
          <rPr>
            <b/>
            <sz val="9"/>
            <color indexed="81"/>
            <rFont val="Tahoma"/>
            <family val="2"/>
          </rPr>
          <t>Pattern</t>
        </r>
      </text>
    </comment>
    <comment ref="G21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H21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C23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Set no.
</t>
        </r>
      </text>
    </comment>
    <comment ref="D23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Manufactor
</t>
        </r>
      </text>
    </comment>
    <comment ref="F23" authorId="0" shapeId="0" xr:uid="{646C871E-3D51-4081-B1DA-0904F9FBCFF8}">
      <text>
        <r>
          <rPr>
            <b/>
            <sz val="9"/>
            <color indexed="81"/>
            <rFont val="Tahoma"/>
            <family val="2"/>
          </rPr>
          <t>Pattern</t>
        </r>
      </text>
    </comment>
    <comment ref="G23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H2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C25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Set no.
</t>
        </r>
      </text>
    </comment>
    <comment ref="D25" authorId="0" shapeId="0" xr:uid="{A4726AEF-54C3-43BE-A7CD-7F138200B161}">
      <text>
        <r>
          <rPr>
            <sz val="9"/>
            <color indexed="81"/>
            <rFont val="Tahoma"/>
            <family val="2"/>
          </rPr>
          <t xml:space="preserve">Manufactor
</t>
        </r>
      </text>
    </comment>
    <comment ref="F25" authorId="0" shapeId="0" xr:uid="{D4394192-3AC7-448C-BF7A-F430F3CCAAF5}">
      <text>
        <r>
          <rPr>
            <b/>
            <sz val="9"/>
            <color indexed="81"/>
            <rFont val="Tahoma"/>
            <family val="2"/>
          </rPr>
          <t>Pattern</t>
        </r>
      </text>
    </comment>
    <comment ref="G25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H25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S.N.</t>
        </r>
      </text>
    </comment>
    <comment ref="C27" authorId="0" shapeId="0" xr:uid="{0C492401-FE28-436B-935B-84ACDAC3B917}">
      <text>
        <r>
          <rPr>
            <sz val="9"/>
            <color indexed="81"/>
            <rFont val="Tahoma"/>
            <family val="2"/>
          </rPr>
          <t xml:space="preserve">Set no.
</t>
        </r>
      </text>
    </comment>
    <comment ref="D27" authorId="0" shapeId="0" xr:uid="{80204116-101B-41E1-948F-3457C24D0770}">
      <text>
        <r>
          <rPr>
            <sz val="9"/>
            <color indexed="81"/>
            <rFont val="Tahoma"/>
            <family val="2"/>
          </rPr>
          <t xml:space="preserve">Manufactor
</t>
        </r>
      </text>
    </comment>
    <comment ref="F27" authorId="0" shapeId="0" xr:uid="{CCCC171F-3930-47CE-9ABF-4BD76187B483}">
      <text>
        <r>
          <rPr>
            <b/>
            <sz val="9"/>
            <color indexed="81"/>
            <rFont val="Tahoma"/>
            <family val="2"/>
          </rPr>
          <t>Pattern</t>
        </r>
      </text>
    </comment>
    <comment ref="G27" authorId="0" shapeId="0" xr:uid="{F0017BB3-5115-4A68-87FB-B01B91D29E6A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H27" authorId="0" shapeId="0" xr:uid="{756BB7A9-223B-4121-BE85-87919E5CD8A2}">
      <text>
        <r>
          <rPr>
            <b/>
            <sz val="9"/>
            <color indexed="81"/>
            <rFont val="Tahoma"/>
            <family val="2"/>
          </rPr>
          <t>S.N.</t>
        </r>
      </text>
    </comment>
    <comment ref="C29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Set no.
</t>
        </r>
      </text>
    </comment>
    <comment ref="D29" authorId="0" shapeId="0" xr:uid="{D529C569-5EFA-41C9-9DEB-5ED941C8431A}">
      <text>
        <r>
          <rPr>
            <sz val="9"/>
            <color indexed="81"/>
            <rFont val="Tahoma"/>
            <family val="2"/>
          </rPr>
          <t xml:space="preserve">Manufactor
</t>
        </r>
      </text>
    </comment>
    <comment ref="F29" authorId="0" shapeId="0" xr:uid="{4B39A017-1224-4903-BFE7-7B90CFEBF41E}">
      <text>
        <r>
          <rPr>
            <b/>
            <sz val="9"/>
            <color indexed="81"/>
            <rFont val="Tahoma"/>
            <family val="2"/>
          </rPr>
          <t>Pattern</t>
        </r>
      </text>
    </comment>
    <comment ref="G29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H29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S.N.</t>
        </r>
      </text>
    </comment>
    <comment ref="C32" authorId="0" shapeId="0" xr:uid="{00000000-0006-0000-0000-000025000000}">
      <text>
        <r>
          <rPr>
            <sz val="9"/>
            <color indexed="81"/>
            <rFont val="Tahoma"/>
            <family val="2"/>
          </rPr>
          <t xml:space="preserve">which kind of tests
are listed in this report
</t>
        </r>
      </text>
    </comment>
    <comment ref="F38" authorId="0" shapeId="0" xr:uid="{00000000-0006-0000-0000-000026000000}">
      <text>
        <r>
          <rPr>
            <sz val="9"/>
            <color indexed="81"/>
            <rFont val="Tahoma"/>
            <family val="2"/>
          </rPr>
          <t xml:space="preserve">Bar
</t>
        </r>
      </text>
    </comment>
    <comment ref="C41" authorId="0" shapeId="0" xr:uid="{00000000-0006-0000-0000-000027000000}">
      <text>
        <r>
          <rPr>
            <sz val="9"/>
            <color indexed="81"/>
            <rFont val="Tahoma"/>
            <family val="2"/>
          </rPr>
          <t xml:space="preserve">Rim size --J x -- ET--
</t>
        </r>
      </text>
    </comment>
    <comment ref="C45" authorId="0" shapeId="0" xr:uid="{00000000-0006-0000-0000-000028000000}">
      <text>
        <r>
          <rPr>
            <sz val="9"/>
            <color indexed="81"/>
            <rFont val="Tahoma"/>
            <family val="2"/>
          </rPr>
          <t xml:space="preserve">who did the final summary
</t>
        </r>
      </text>
    </comment>
  </commentList>
</comments>
</file>

<file path=xl/sharedStrings.xml><?xml version="1.0" encoding="utf-8"?>
<sst xmlns="http://schemas.openxmlformats.org/spreadsheetml/2006/main" count="324" uniqueCount="201">
  <si>
    <t>Dry Test</t>
  </si>
  <si>
    <t>Test Track:</t>
  </si>
  <si>
    <t>Tyre Size:</t>
  </si>
  <si>
    <t>Pressure FA:</t>
  </si>
  <si>
    <t>Date:</t>
  </si>
  <si>
    <t>Rim Size:</t>
  </si>
  <si>
    <t>Load of Car:</t>
  </si>
  <si>
    <t>Set A</t>
  </si>
  <si>
    <t>Set B</t>
  </si>
  <si>
    <t>Set C</t>
  </si>
  <si>
    <t>Set D</t>
  </si>
  <si>
    <t>Report Nr.:</t>
  </si>
  <si>
    <t>Tire Set Nr.:</t>
  </si>
  <si>
    <t>Compound</t>
  </si>
  <si>
    <t>DOT</t>
  </si>
  <si>
    <t>Pattern</t>
  </si>
  <si>
    <t>Handling</t>
  </si>
  <si>
    <t>Total Average</t>
  </si>
  <si>
    <t>improvement necessary</t>
  </si>
  <si>
    <t>Date :</t>
  </si>
  <si>
    <t>Date of test :</t>
  </si>
  <si>
    <t>Test vehicle :</t>
  </si>
  <si>
    <t>Test performed :</t>
  </si>
  <si>
    <t>Proving ground :</t>
  </si>
  <si>
    <t>Inflation pressure :</t>
  </si>
  <si>
    <t>Rim :</t>
  </si>
  <si>
    <t>Rating</t>
  </si>
  <si>
    <t>10 Points</t>
  </si>
  <si>
    <t>excellent</t>
  </si>
  <si>
    <t>9 Points</t>
  </si>
  <si>
    <t>very good</t>
  </si>
  <si>
    <t>8 Points</t>
  </si>
  <si>
    <t>good</t>
  </si>
  <si>
    <t>7 Points</t>
  </si>
  <si>
    <t>replacement</t>
  </si>
  <si>
    <t>6 Points</t>
  </si>
  <si>
    <t>5 Points</t>
  </si>
  <si>
    <t>4 Points</t>
  </si>
  <si>
    <t>bad</t>
  </si>
  <si>
    <t>3 Points</t>
  </si>
  <si>
    <t>very bad</t>
  </si>
  <si>
    <t>Wethandling:</t>
  </si>
  <si>
    <t>Groups should by limited up to max 5-6 sets</t>
  </si>
  <si>
    <t>Dryhandling:</t>
  </si>
  <si>
    <t>Groups with more than 4 sets, must by driven partly up to max 4 sets.</t>
  </si>
  <si>
    <t>Finaly you have to check the best sets in a final group.</t>
  </si>
  <si>
    <t>One Test, max up to 3 groups.</t>
  </si>
  <si>
    <t>Report - Nr.:</t>
  </si>
  <si>
    <t>Test sets :</t>
  </si>
  <si>
    <t>Test equipment :</t>
  </si>
  <si>
    <t xml:space="preserve">  </t>
  </si>
  <si>
    <t>Report done by:</t>
  </si>
  <si>
    <t>FA:</t>
  </si>
  <si>
    <t>RA:</t>
  </si>
  <si>
    <t>Test tyre size :</t>
  </si>
  <si>
    <t>Driver 1:</t>
  </si>
  <si>
    <t>Kamlendra</t>
  </si>
  <si>
    <t xml:space="preserve">OE submission </t>
  </si>
  <si>
    <t>satisfactory</t>
  </si>
  <si>
    <t>Acceptable</t>
  </si>
  <si>
    <t xml:space="preserve">    Pressure RA:</t>
  </si>
  <si>
    <t>Subjective handling, rating and description</t>
  </si>
  <si>
    <t>PSI</t>
  </si>
  <si>
    <t>Temp. Air °C</t>
  </si>
  <si>
    <t>Temp. Road °C</t>
  </si>
  <si>
    <t>Driver+1(F1R1)</t>
  </si>
  <si>
    <t>Average</t>
  </si>
  <si>
    <t xml:space="preserve">Overall Comments  </t>
  </si>
  <si>
    <t>Steering</t>
  </si>
  <si>
    <t>Handling Dry Surface</t>
  </si>
  <si>
    <t>Ride-Vibrations &amp; Noise</t>
  </si>
  <si>
    <t>Subjective Handling Dry  test</t>
  </si>
  <si>
    <t xml:space="preserve">Ride </t>
  </si>
  <si>
    <t xml:space="preserve">Steering  </t>
  </si>
  <si>
    <t>Tyre Performance
 Evaluation Report</t>
  </si>
  <si>
    <t>Subject Ride &amp; Handling Dry Performance Test - Summary</t>
  </si>
  <si>
    <t>Pressure Gauge</t>
  </si>
  <si>
    <t>NA</t>
  </si>
  <si>
    <t>JK Tyre</t>
  </si>
  <si>
    <t>Natarx Indore(Comfort Track(T8) 
&amp; Dynamics Pad(T2)</t>
  </si>
  <si>
    <t>ok</t>
  </si>
  <si>
    <t>R&amp;H Subjective Tyre Evaluation Sheet
Tech Center-RPSCOE,Mysore</t>
  </si>
  <si>
    <t>Tech Center RPSCOE,Mysore</t>
  </si>
  <si>
    <t>UX Royale</t>
  </si>
  <si>
    <t>--</t>
  </si>
  <si>
    <t>215/60R16 95H</t>
  </si>
  <si>
    <t>Kpa</t>
  </si>
  <si>
    <t>6.5 J x 16(Steel Rims)</t>
  </si>
  <si>
    <t>MSIL Subjective Ride &amp; Handling Format</t>
  </si>
  <si>
    <t xml:space="preserve">Smooth Road </t>
  </si>
  <si>
    <t xml:space="preserve">Speed Breaker </t>
  </si>
  <si>
    <t xml:space="preserve">Rough Road </t>
  </si>
  <si>
    <t xml:space="preserve">Step Joint / Repair Patch </t>
  </si>
  <si>
    <t xml:space="preserve">Damping </t>
  </si>
  <si>
    <t xml:space="preserve">On-Center Feel </t>
  </si>
  <si>
    <t xml:space="preserve">Initial Lag </t>
  </si>
  <si>
    <t>Off Center Steering</t>
  </si>
  <si>
    <t xml:space="preserve">Yaw Response &amp; Control </t>
  </si>
  <si>
    <t xml:space="preserve">Rear Tracking </t>
  </si>
  <si>
    <t xml:space="preserve">Roll Level &amp; Damping </t>
  </si>
  <si>
    <t xml:space="preserve">Steering Effort </t>
  </si>
  <si>
    <t>Steering Force Build-up</t>
  </si>
  <si>
    <t xml:space="preserve">Grip Level </t>
  </si>
  <si>
    <t xml:space="preserve">Good road pick up feel and less vibration </t>
  </si>
  <si>
    <t>less throw up</t>
  </si>
  <si>
    <t>Vibration level is slight more,inferior envoloping</t>
  </si>
  <si>
    <t>Slight  more strenght</t>
  </si>
  <si>
    <t>slight less on rough road</t>
  </si>
  <si>
    <t>Big roll and inferior damping at limit</t>
  </si>
  <si>
    <t>heavy and elastic feel</t>
  </si>
  <si>
    <t xml:space="preserve">high </t>
  </si>
  <si>
    <t>Big window,like u feel</t>
  </si>
  <si>
    <t>Big initial delay</t>
  </si>
  <si>
    <t>Feels heavy and flat build up,remains heavy</t>
  </si>
  <si>
    <t>Yaw response is slow but linear</t>
  </si>
  <si>
    <t>MSIL Breeza  MP09DU4933 (Odo-17200 kms)</t>
  </si>
  <si>
    <t>Ref</t>
  </si>
  <si>
    <t>MRF</t>
  </si>
  <si>
    <t>Less vibration level and good enevoloping feel</t>
  </si>
  <si>
    <t>Strength is less and rounded feel,</t>
  </si>
  <si>
    <t>Good damping overall</t>
  </si>
  <si>
    <t>Good till 80kmph,at 100 roll level is more,damping ok</t>
  </si>
  <si>
    <t>Overall Slight more</t>
  </si>
  <si>
    <t>Good grip till 80kmph</t>
  </si>
  <si>
    <t>Small on center window ,Good response and stiffness</t>
  </si>
  <si>
    <t>less lag</t>
  </si>
  <si>
    <t>Overall force build up is slight flat</t>
  </si>
  <si>
    <t xml:space="preserve"> off center feels elastic and returnability is too quick</t>
  </si>
  <si>
    <t>Yaw response is quick and linear</t>
  </si>
  <si>
    <t>Good ,less pick up feel</t>
  </si>
  <si>
    <t>Less vibration and good enevoloping feel</t>
  </si>
  <si>
    <t>Slight more bounce and throw up</t>
  </si>
  <si>
    <t>Slight better plushness</t>
  </si>
  <si>
    <t>OK in ride not good in Handling and steering</t>
  </si>
  <si>
    <t>3B1</t>
  </si>
  <si>
    <t>5F</t>
  </si>
  <si>
    <t>3B-RB</t>
  </si>
  <si>
    <t>Wanderer Eco Tred StreetN2</t>
  </si>
  <si>
    <t>Road Pick up feel is ok but vibration on floor and steering from 80kmph and above</t>
  </si>
  <si>
    <t>Less throw up</t>
  </si>
  <si>
    <t>Ok Enevoloping</t>
  </si>
  <si>
    <t>Strenght is slight more ,feels rounded</t>
  </si>
  <si>
    <t>OK</t>
  </si>
  <si>
    <t>Inferior</t>
  </si>
  <si>
    <t>Big roll level ,rate and poor damping</t>
  </si>
  <si>
    <t>Poor road pick up feel,Vibration above 60kmph</t>
  </si>
  <si>
    <t>More bounce and throw up</t>
  </si>
  <si>
    <t>More vibration level and poor enevoloping</t>
  </si>
  <si>
    <t>Hard impact,poor plushness</t>
  </si>
  <si>
    <t>Slight inferior damping</t>
  </si>
  <si>
    <t>less</t>
  </si>
  <si>
    <t>elastic feel</t>
  </si>
  <si>
    <t>Slight less</t>
  </si>
  <si>
    <t>Big dead band,poor stiffnes at center</t>
  </si>
  <si>
    <t>Big initial delay at all speed</t>
  </si>
  <si>
    <t xml:space="preserve">Flat build up </t>
  </si>
  <si>
    <t>Low yaw gain,non linear</t>
  </si>
  <si>
    <t>Not Good in R&amp;H,Vibration above 60 kmph and above</t>
  </si>
  <si>
    <t>Slight less but ok</t>
  </si>
  <si>
    <t>Close to ref</t>
  </si>
  <si>
    <t>Slight big window but close to ref</t>
  </si>
  <si>
    <t>Slight lag but ok</t>
  </si>
  <si>
    <t>Close to ref in R&amp;H except vibration Issue above 80kmph and above</t>
  </si>
  <si>
    <t xml:space="preserve">Big Dead band </t>
  </si>
  <si>
    <t>Slow yaw response and big lag</t>
  </si>
  <si>
    <t>3B3-CO</t>
  </si>
  <si>
    <t>5C</t>
  </si>
  <si>
    <t>5D</t>
  </si>
  <si>
    <t>5G</t>
  </si>
  <si>
    <t>Vibration and road pick up feel more above 60kmph</t>
  </si>
  <si>
    <t>bounce and throw up is ok</t>
  </si>
  <si>
    <t>More vibration level on floor,seat and steering</t>
  </si>
  <si>
    <t>Slght inferior plushness</t>
  </si>
  <si>
    <t>Rear Tracking is not good</t>
  </si>
  <si>
    <t>More roll level and inferior damping</t>
  </si>
  <si>
    <t>More Heavy</t>
  </si>
  <si>
    <t>5,5</t>
  </si>
  <si>
    <t>Less</t>
  </si>
  <si>
    <t xml:space="preserve">Big dead band </t>
  </si>
  <si>
    <t>ok at low speed but more lag on 80kmph and above</t>
  </si>
  <si>
    <t>Initial delay and became non linear</t>
  </si>
  <si>
    <t>Not Good in R&amp;H</t>
  </si>
  <si>
    <t>Poor road pick up feel and big vibration from 60 to 120kmph</t>
  </si>
  <si>
    <t>Big dead band</t>
  </si>
  <si>
    <t>Big initial lag</t>
  </si>
  <si>
    <t>low yaw response</t>
  </si>
  <si>
    <t>Not  Done because vibration</t>
  </si>
  <si>
    <t>Better pick up feel but vibration presnts above 90kmph but not too perveivable</t>
  </si>
  <si>
    <t>Enevolope feel little inferior</t>
  </si>
  <si>
    <t>Slight heavy</t>
  </si>
  <si>
    <t>Slight more</t>
  </si>
  <si>
    <t>similar to control</t>
  </si>
  <si>
    <t>More bounce and pitching</t>
  </si>
  <si>
    <t>Slight inferior</t>
  </si>
  <si>
    <t>Not Good in Handling</t>
  </si>
  <si>
    <t>Less pick up feel and vibration</t>
  </si>
  <si>
    <t>Good in R&amp;H</t>
  </si>
  <si>
    <t>Group Name</t>
  </si>
  <si>
    <t>Tyre Make</t>
  </si>
  <si>
    <t>SR/LR</t>
  </si>
  <si>
    <t>Week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</si>
</sst>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"/>
  </numFmts>
  <fonts count="5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Helv"/>
    </font>
    <font>
      <b/>
      <sz val="11"/>
      <color indexed="8"/>
      <name val="Calibri"/>
      <family val="2"/>
    </font>
    <font>
      <sz val="12"/>
      <name val="Calibri"/>
      <family val="2"/>
    </font>
    <font>
      <sz val="12"/>
      <color indexed="8"/>
      <name val="Calibri"/>
      <family val="2"/>
    </font>
    <font>
      <b/>
      <sz val="20"/>
      <color indexed="63"/>
      <name val="Calibri"/>
      <family val="2"/>
    </font>
    <font>
      <u/>
      <sz val="11"/>
      <color indexed="8"/>
      <name val="Calibri"/>
      <family val="2"/>
    </font>
    <font>
      <b/>
      <sz val="12"/>
      <color indexed="8"/>
      <name val="Calibri"/>
      <family val="2"/>
    </font>
    <font>
      <sz val="15"/>
      <color indexed="8"/>
      <name val="Calibri"/>
      <family val="2"/>
    </font>
    <font>
      <b/>
      <sz val="12"/>
      <color indexed="23"/>
      <name val="Calibri"/>
      <family val="2"/>
    </font>
    <font>
      <b/>
      <sz val="36"/>
      <color indexed="23"/>
      <name val="Calibri"/>
      <family val="2"/>
    </font>
    <font>
      <b/>
      <sz val="26"/>
      <color indexed="63"/>
      <name val="Calibri"/>
      <family val="2"/>
    </font>
    <font>
      <sz val="14"/>
      <color indexed="8"/>
      <name val="Calibri"/>
      <family val="2"/>
    </font>
    <font>
      <sz val="18"/>
      <color indexed="8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theme="1"/>
      <name val="Arial"/>
      <family val="2"/>
    </font>
    <font>
      <b/>
      <sz val="36"/>
      <color indexed="23"/>
      <name val="Calibri"/>
      <family val="2"/>
      <scheme val="minor"/>
    </font>
    <font>
      <sz val="15"/>
      <name val="Calibri"/>
      <family val="2"/>
      <scheme val="minor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color indexed="8"/>
      <name val="Calibri"/>
      <family val="2"/>
    </font>
    <font>
      <b/>
      <sz val="16"/>
      <color indexed="8"/>
      <name val="Calibri"/>
      <family val="2"/>
    </font>
    <font>
      <b/>
      <sz val="36"/>
      <color indexed="55"/>
      <name val="Calibri"/>
      <family val="2"/>
    </font>
    <font>
      <b/>
      <sz val="14"/>
      <color indexed="23"/>
      <name val="Verdana"/>
      <family val="2"/>
    </font>
    <font>
      <b/>
      <sz val="20"/>
      <name val="Arial"/>
      <family val="2"/>
    </font>
    <font>
      <sz val="20"/>
      <name val="Arial"/>
      <family val="2"/>
    </font>
    <font>
      <sz val="20"/>
      <color theme="1"/>
      <name val="Calibri"/>
      <family val="2"/>
      <scheme val="minor"/>
    </font>
    <font>
      <sz val="20"/>
      <name val="Calibri"/>
      <family val="2"/>
    </font>
    <font>
      <b/>
      <sz val="20"/>
      <name val="Calibri"/>
      <family val="2"/>
    </font>
    <font>
      <b/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10"/>
      <color indexed="23"/>
      <name val="Verdana"/>
      <family val="2"/>
    </font>
    <font>
      <b/>
      <u/>
      <sz val="2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9" borderId="0" applyNumberFormat="0" applyBorder="0" applyAlignment="0" applyProtection="0"/>
    <xf numFmtId="0" fontId="26" fillId="20" borderId="1" applyNumberFormat="0" applyAlignment="0" applyProtection="0"/>
    <xf numFmtId="0" fontId="27" fillId="20" borderId="2" applyNumberFormat="0" applyAlignment="0" applyProtection="0"/>
    <xf numFmtId="0" fontId="25" fillId="7" borderId="2" applyNumberFormat="0" applyAlignment="0" applyProtection="0"/>
    <xf numFmtId="0" fontId="6" fillId="0" borderId="4" applyNumberFormat="0" applyFill="0" applyAlignment="0" applyProtection="0"/>
    <xf numFmtId="0" fontId="31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18" fillId="0" borderId="0"/>
    <xf numFmtId="0" fontId="18" fillId="0" borderId="0"/>
    <xf numFmtId="0" fontId="2" fillId="0" borderId="0"/>
    <xf numFmtId="0" fontId="5" fillId="0" borderId="0" applyNumberFormat="0"/>
    <xf numFmtId="0" fontId="1" fillId="22" borderId="9" applyNumberFormat="0" applyFont="0" applyAlignment="0" applyProtection="0"/>
    <xf numFmtId="0" fontId="24" fillId="3" borderId="0" applyNumberFormat="0" applyBorder="0" applyAlignment="0" applyProtection="0"/>
    <xf numFmtId="0" fontId="2" fillId="0" borderId="0"/>
    <xf numFmtId="0" fontId="19" fillId="0" borderId="0" applyNumberFormat="0" applyFill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8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29" fillId="21" borderId="3" applyNumberFormat="0" applyAlignment="0" applyProtection="0"/>
    <xf numFmtId="0" fontId="1" fillId="0" borderId="0"/>
  </cellStyleXfs>
  <cellXfs count="221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Protection="1">
      <protection locked="0" hidden="1"/>
    </xf>
    <xf numFmtId="0" fontId="0" fillId="0" borderId="18" xfId="0" applyBorder="1"/>
    <xf numFmtId="0" fontId="9" fillId="0" borderId="14" xfId="0" applyFont="1" applyBorder="1"/>
    <xf numFmtId="165" fontId="7" fillId="0" borderId="18" xfId="34" applyNumberFormat="1" applyFont="1" applyBorder="1" applyAlignment="1" applyProtection="1">
      <alignment horizontal="left"/>
      <protection hidden="1"/>
    </xf>
    <xf numFmtId="165" fontId="7" fillId="0" borderId="0" xfId="34" applyNumberFormat="1" applyFont="1" applyAlignment="1" applyProtection="1">
      <alignment horizontal="left"/>
      <protection hidden="1"/>
    </xf>
    <xf numFmtId="0" fontId="10" fillId="0" borderId="18" xfId="0" applyFont="1" applyBorder="1"/>
    <xf numFmtId="0" fontId="0" fillId="0" borderId="17" xfId="0" applyBorder="1"/>
    <xf numFmtId="0" fontId="0" fillId="0" borderId="0" xfId="0" applyAlignment="1">
      <alignment horizontal="center"/>
    </xf>
    <xf numFmtId="0" fontId="0" fillId="0" borderId="14" xfId="0" applyBorder="1" applyProtection="1">
      <protection locked="0" hidden="1"/>
    </xf>
    <xf numFmtId="0" fontId="0" fillId="0" borderId="0" xfId="0" applyAlignment="1">
      <alignment wrapText="1"/>
    </xf>
    <xf numFmtId="0" fontId="0" fillId="0" borderId="0" xfId="0" applyAlignment="1" applyProtection="1">
      <alignment vertical="center"/>
      <protection locked="0" hidden="1"/>
    </xf>
    <xf numFmtId="0" fontId="0" fillId="0" borderId="14" xfId="0" applyBorder="1" applyAlignment="1" applyProtection="1">
      <alignment vertical="center"/>
      <protection locked="0" hidden="1"/>
    </xf>
    <xf numFmtId="0" fontId="33" fillId="0" borderId="0" xfId="0" applyFont="1"/>
    <xf numFmtId="0" fontId="0" fillId="0" borderId="18" xfId="0" applyBorder="1" applyAlignment="1" applyProtection="1">
      <alignment vertical="center"/>
      <protection locked="0" hidden="1"/>
    </xf>
    <xf numFmtId="0" fontId="0" fillId="0" borderId="17" xfId="0" applyBorder="1" applyAlignment="1" applyProtection="1">
      <alignment vertical="center"/>
      <protection locked="0" hidden="1"/>
    </xf>
    <xf numFmtId="0" fontId="0" fillId="0" borderId="15" xfId="0" applyBorder="1" applyAlignment="1" applyProtection="1">
      <alignment vertical="center"/>
      <protection locked="0" hidden="1"/>
    </xf>
    <xf numFmtId="0" fontId="0" fillId="0" borderId="16" xfId="0" applyBorder="1" applyAlignment="1" applyProtection="1">
      <alignment vertical="center"/>
      <protection locked="0" hidden="1"/>
    </xf>
    <xf numFmtId="0" fontId="11" fillId="0" borderId="18" xfId="0" applyFont="1" applyBorder="1" applyAlignment="1" applyProtection="1">
      <alignment horizontal="left" vertical="center"/>
      <protection locked="0" hidden="1"/>
    </xf>
    <xf numFmtId="0" fontId="11" fillId="0" borderId="0" xfId="0" applyFont="1" applyAlignment="1" applyProtection="1">
      <alignment horizontal="left" vertical="center"/>
      <protection locked="0" hidden="1"/>
    </xf>
    <xf numFmtId="0" fontId="0" fillId="0" borderId="0" xfId="0" applyAlignment="1" applyProtection="1">
      <alignment horizontal="left" vertical="center"/>
      <protection locked="0" hidden="1"/>
    </xf>
    <xf numFmtId="0" fontId="43" fillId="0" borderId="12" xfId="37" applyFont="1" applyBorder="1" applyAlignment="1" applyProtection="1">
      <alignment horizontal="center" vertical="center"/>
      <protection hidden="1"/>
    </xf>
    <xf numFmtId="0" fontId="44" fillId="0" borderId="20" xfId="37" applyFont="1" applyBorder="1" applyAlignment="1" applyProtection="1">
      <alignment horizontal="center" vertical="center" wrapText="1"/>
      <protection hidden="1"/>
    </xf>
    <xf numFmtId="164" fontId="44" fillId="0" borderId="12" xfId="37" applyNumberFormat="1" applyFont="1" applyBorder="1" applyAlignment="1" applyProtection="1">
      <alignment horizontal="center" vertical="center"/>
      <protection locked="0" hidden="1"/>
    </xf>
    <xf numFmtId="0" fontId="44" fillId="0" borderId="12" xfId="37" applyFont="1" applyBorder="1" applyAlignment="1" applyProtection="1">
      <alignment horizontal="center" vertical="center"/>
      <protection hidden="1"/>
    </xf>
    <xf numFmtId="0" fontId="46" fillId="0" borderId="12" xfId="37" applyFont="1" applyBorder="1" applyAlignment="1" applyProtection="1">
      <alignment horizontal="center" vertical="center"/>
      <protection hidden="1"/>
    </xf>
    <xf numFmtId="0" fontId="47" fillId="0" borderId="20" xfId="37" applyFont="1" applyBorder="1" applyAlignment="1" applyProtection="1">
      <alignment horizontal="center" vertical="center"/>
      <protection locked="0" hidden="1"/>
    </xf>
    <xf numFmtId="0" fontId="46" fillId="0" borderId="20" xfId="37" applyFont="1" applyBorder="1" applyAlignment="1" applyProtection="1">
      <alignment horizontal="center" vertical="center"/>
      <protection hidden="1"/>
    </xf>
    <xf numFmtId="0" fontId="46" fillId="0" borderId="12" xfId="37" quotePrefix="1" applyFont="1" applyBorder="1" applyAlignment="1" applyProtection="1">
      <alignment horizontal="center" vertical="center"/>
      <protection locked="0" hidden="1"/>
    </xf>
    <xf numFmtId="0" fontId="46" fillId="0" borderId="12" xfId="37" applyFont="1" applyBorder="1" applyAlignment="1" applyProtection="1">
      <alignment vertical="center"/>
      <protection hidden="1"/>
    </xf>
    <xf numFmtId="164" fontId="49" fillId="27" borderId="19" xfId="33" applyNumberFormat="1" applyFont="1" applyFill="1" applyBorder="1" applyAlignment="1">
      <alignment horizontal="center" vertical="center"/>
    </xf>
    <xf numFmtId="0" fontId="49" fillId="27" borderId="19" xfId="37" applyFont="1" applyFill="1" applyBorder="1" applyAlignment="1" applyProtection="1">
      <alignment horizontal="center" vertical="center"/>
      <protection locked="0" hidden="1"/>
    </xf>
    <xf numFmtId="164" fontId="49" fillId="27" borderId="19" xfId="37" applyNumberFormat="1" applyFont="1" applyFill="1" applyBorder="1" applyAlignment="1" applyProtection="1">
      <alignment horizontal="center" vertical="center"/>
      <protection locked="0" hidden="1"/>
    </xf>
    <xf numFmtId="0" fontId="49" fillId="27" borderId="19" xfId="37" applyFont="1" applyFill="1" applyBorder="1" applyAlignment="1" applyProtection="1">
      <alignment horizontal="center" vertical="center" wrapText="1"/>
      <protection locked="0" hidden="1"/>
    </xf>
    <xf numFmtId="2" fontId="49" fillId="0" borderId="12" xfId="37" applyNumberFormat="1" applyFont="1" applyBorder="1" applyAlignment="1" applyProtection="1">
      <alignment horizontal="center" vertical="center"/>
      <protection hidden="1"/>
    </xf>
    <xf numFmtId="2" fontId="38" fillId="23" borderId="13" xfId="37" applyNumberFormat="1" applyFont="1" applyFill="1" applyBorder="1" applyAlignment="1" applyProtection="1">
      <alignment horizontal="center" vertical="center"/>
      <protection hidden="1"/>
    </xf>
    <xf numFmtId="2" fontId="49" fillId="27" borderId="19" xfId="33" applyNumberFormat="1" applyFont="1" applyFill="1" applyBorder="1" applyAlignment="1">
      <alignment horizontal="center" vertical="center"/>
    </xf>
    <xf numFmtId="2" fontId="49" fillId="27" borderId="19" xfId="37" applyNumberFormat="1" applyFont="1" applyFill="1" applyBorder="1" applyAlignment="1" applyProtection="1">
      <alignment horizontal="center" vertical="center"/>
      <protection locked="0" hidden="1"/>
    </xf>
    <xf numFmtId="2" fontId="49" fillId="27" borderId="19" xfId="37" applyNumberFormat="1" applyFont="1" applyFill="1" applyBorder="1" applyAlignment="1" applyProtection="1">
      <alignment horizontal="center" vertical="center" wrapText="1"/>
      <protection locked="0" hidden="1"/>
    </xf>
    <xf numFmtId="2" fontId="49" fillId="0" borderId="12" xfId="37" applyNumberFormat="1" applyFont="1" applyBorder="1" applyAlignment="1" applyProtection="1">
      <alignment horizontal="center" vertical="center"/>
      <protection locked="0" hidden="1"/>
    </xf>
    <xf numFmtId="164" fontId="38" fillId="23" borderId="20" xfId="37" applyNumberFormat="1" applyFont="1" applyFill="1" applyBorder="1" applyAlignment="1" applyProtection="1">
      <alignment horizontal="center" vertical="center"/>
      <protection hidden="1"/>
    </xf>
    <xf numFmtId="164" fontId="38" fillId="23" borderId="13" xfId="37" applyNumberFormat="1" applyFont="1" applyFill="1" applyBorder="1" applyAlignment="1" applyProtection="1">
      <alignment horizontal="center" vertical="center"/>
      <protection hidden="1"/>
    </xf>
    <xf numFmtId="0" fontId="46" fillId="0" borderId="27" xfId="37" quotePrefix="1" applyFont="1" applyBorder="1" applyAlignment="1" applyProtection="1">
      <alignment horizontal="center" vertical="center"/>
      <protection locked="0" hidden="1"/>
    </xf>
    <xf numFmtId="0" fontId="14" fillId="23" borderId="25" xfId="0" applyFont="1" applyFill="1" applyBorder="1" applyAlignment="1" applyProtection="1">
      <alignment horizontal="center" vertical="center" textRotation="90" shrinkToFit="1"/>
      <protection hidden="1"/>
    </xf>
    <xf numFmtId="0" fontId="14" fillId="28" borderId="25" xfId="0" applyFont="1" applyFill="1" applyBorder="1" applyAlignment="1" applyProtection="1">
      <alignment horizontal="center" vertical="center" textRotation="90" shrinkToFit="1"/>
      <protection hidden="1"/>
    </xf>
    <xf numFmtId="0" fontId="49" fillId="27" borderId="26" xfId="37" applyFont="1" applyFill="1" applyBorder="1" applyAlignment="1" applyProtection="1">
      <alignment horizontal="center" vertical="center"/>
      <protection locked="0" hidden="1"/>
    </xf>
    <xf numFmtId="2" fontId="49" fillId="27" borderId="26" xfId="37" applyNumberFormat="1" applyFont="1" applyFill="1" applyBorder="1" applyAlignment="1" applyProtection="1">
      <alignment horizontal="center" vertical="center"/>
      <protection locked="0" hidden="1"/>
    </xf>
    <xf numFmtId="0" fontId="34" fillId="23" borderId="30" xfId="0" applyFont="1" applyFill="1" applyBorder="1" applyAlignment="1" applyProtection="1">
      <alignment vertical="center" textRotation="90" shrinkToFit="1"/>
      <protection hidden="1"/>
    </xf>
    <xf numFmtId="0" fontId="36" fillId="0" borderId="32" xfId="37" applyFont="1" applyBorder="1" applyAlignment="1" applyProtection="1">
      <alignment horizontal="center" vertical="center" wrapText="1"/>
      <protection locked="0" hidden="1"/>
    </xf>
    <xf numFmtId="0" fontId="36" fillId="0" borderId="33" xfId="37" applyFont="1" applyBorder="1" applyAlignment="1" applyProtection="1">
      <alignment horizontal="center" vertical="center" wrapText="1"/>
      <protection locked="0" hidden="1"/>
    </xf>
    <xf numFmtId="0" fontId="35" fillId="0" borderId="34" xfId="37" applyFont="1" applyBorder="1" applyAlignment="1" applyProtection="1">
      <alignment horizontal="left" vertical="center" wrapText="1"/>
      <protection locked="0" hidden="1"/>
    </xf>
    <xf numFmtId="0" fontId="35" fillId="0" borderId="33" xfId="37" applyFont="1" applyBorder="1" applyAlignment="1" applyProtection="1">
      <alignment horizontal="left" vertical="center" wrapText="1"/>
      <protection locked="0" hidden="1"/>
    </xf>
    <xf numFmtId="0" fontId="35" fillId="0" borderId="35" xfId="37" applyFont="1" applyBorder="1" applyAlignment="1" applyProtection="1">
      <alignment horizontal="left" vertical="center" wrapText="1"/>
      <protection locked="0" hidden="1"/>
    </xf>
    <xf numFmtId="0" fontId="38" fillId="23" borderId="13" xfId="37" applyFont="1" applyFill="1" applyBorder="1" applyAlignment="1" applyProtection="1">
      <alignment horizontal="center" vertical="center"/>
      <protection hidden="1"/>
    </xf>
    <xf numFmtId="0" fontId="38" fillId="23" borderId="11" xfId="37" applyFont="1" applyFill="1" applyBorder="1" applyAlignment="1" applyProtection="1">
      <alignment horizontal="center" vertical="center"/>
      <protection hidden="1"/>
    </xf>
    <xf numFmtId="0" fontId="38" fillId="23" borderId="10" xfId="37" applyFont="1" applyFill="1" applyBorder="1" applyAlignment="1" applyProtection="1">
      <alignment horizontal="center" vertical="center"/>
      <protection hidden="1"/>
    </xf>
    <xf numFmtId="0" fontId="38" fillId="23" borderId="31" xfId="37" applyFont="1" applyFill="1" applyBorder="1" applyAlignment="1" applyProtection="1">
      <alignment horizontal="center" vertical="center"/>
      <protection hidden="1"/>
    </xf>
    <xf numFmtId="0" fontId="38" fillId="23" borderId="20" xfId="37" applyFont="1" applyFill="1" applyBorder="1" applyAlignment="1" applyProtection="1">
      <alignment horizontal="center" vertical="center"/>
      <protection hidden="1"/>
    </xf>
    <xf numFmtId="0" fontId="38" fillId="23" borderId="21" xfId="37" applyFont="1" applyFill="1" applyBorder="1" applyAlignment="1" applyProtection="1">
      <alignment horizontal="center" vertical="center"/>
      <protection hidden="1"/>
    </xf>
    <xf numFmtId="0" fontId="38" fillId="23" borderId="19" xfId="37" applyFont="1" applyFill="1" applyBorder="1" applyAlignment="1" applyProtection="1">
      <alignment horizontal="center" vertical="center"/>
      <protection hidden="1"/>
    </xf>
    <xf numFmtId="0" fontId="45" fillId="0" borderId="20" xfId="0" applyFont="1" applyBorder="1" applyAlignment="1">
      <alignment horizontal="left" vertical="center" wrapText="1"/>
    </xf>
    <xf numFmtId="0" fontId="45" fillId="0" borderId="21" xfId="0" applyFont="1" applyBorder="1" applyAlignment="1">
      <alignment horizontal="left" vertical="center"/>
    </xf>
    <xf numFmtId="0" fontId="46" fillId="0" borderId="20" xfId="37" quotePrefix="1" applyFont="1" applyBorder="1" applyAlignment="1" applyProtection="1">
      <alignment horizontal="center" vertical="center"/>
      <protection locked="0" hidden="1"/>
    </xf>
    <xf numFmtId="0" fontId="45" fillId="0" borderId="19" xfId="0" applyFont="1" applyBorder="1"/>
    <xf numFmtId="0" fontId="45" fillId="0" borderId="21" xfId="0" applyFont="1" applyBorder="1"/>
    <xf numFmtId="0" fontId="38" fillId="27" borderId="12" xfId="37" applyFont="1" applyFill="1" applyBorder="1" applyAlignment="1" applyProtection="1">
      <alignment horizontal="center" vertical="center"/>
      <protection hidden="1"/>
    </xf>
    <xf numFmtId="2" fontId="49" fillId="0" borderId="12" xfId="37" applyNumberFormat="1" applyFont="1" applyBorder="1" applyAlignment="1" applyProtection="1">
      <alignment horizontal="center" vertical="center" wrapText="1"/>
      <protection hidden="1"/>
    </xf>
    <xf numFmtId="0" fontId="38" fillId="27" borderId="20" xfId="37" applyFont="1" applyFill="1" applyBorder="1" applyAlignment="1" applyProtection="1">
      <alignment horizontal="center" vertical="center"/>
      <protection hidden="1"/>
    </xf>
    <xf numFmtId="0" fontId="38" fillId="27" borderId="19" xfId="37" applyFont="1" applyFill="1" applyBorder="1" applyAlignment="1" applyProtection="1">
      <alignment horizontal="center" vertical="center"/>
      <protection hidden="1"/>
    </xf>
    <xf numFmtId="164" fontId="46" fillId="0" borderId="12" xfId="37" quotePrefix="1" applyNumberFormat="1" applyFont="1" applyBorder="1" applyAlignment="1" applyProtection="1">
      <alignment horizontal="center" vertical="center"/>
      <protection locked="0" hidden="1"/>
    </xf>
    <xf numFmtId="164" fontId="45" fillId="0" borderId="12" xfId="0" applyNumberFormat="1" applyFont="1" applyBorder="1" applyAlignment="1" applyProtection="1">
      <alignment horizontal="center"/>
      <protection locked="0" hidden="1"/>
    </xf>
    <xf numFmtId="0" fontId="44" fillId="0" borderId="20" xfId="37" applyFont="1" applyBorder="1" applyAlignment="1" applyProtection="1">
      <alignment horizontal="center" vertical="center"/>
      <protection locked="0" hidden="1"/>
    </xf>
    <xf numFmtId="0" fontId="44" fillId="0" borderId="19" xfId="37" applyFont="1" applyBorder="1" applyAlignment="1" applyProtection="1">
      <alignment horizontal="center" vertical="center"/>
      <protection locked="0" hidden="1"/>
    </xf>
    <xf numFmtId="0" fontId="46" fillId="23" borderId="20" xfId="37" applyFont="1" applyFill="1" applyBorder="1" applyAlignment="1" applyProtection="1">
      <alignment horizontal="center" vertical="center"/>
      <protection hidden="1"/>
    </xf>
    <xf numFmtId="0" fontId="46" fillId="23" borderId="19" xfId="37" applyFont="1" applyFill="1" applyBorder="1" applyAlignment="1" applyProtection="1">
      <alignment horizontal="center" vertical="center"/>
      <protection hidden="1"/>
    </xf>
    <xf numFmtId="0" fontId="44" fillId="0" borderId="12" xfId="37" applyFont="1" applyBorder="1" applyAlignment="1" applyProtection="1">
      <alignment horizontal="center" vertical="center"/>
      <protection hidden="1"/>
    </xf>
    <xf numFmtId="0" fontId="46" fillId="0" borderId="12" xfId="37" applyFont="1" applyBorder="1" applyAlignment="1" applyProtection="1">
      <alignment horizontal="center" vertical="center"/>
      <protection locked="0" hidden="1"/>
    </xf>
    <xf numFmtId="0" fontId="47" fillId="0" borderId="12" xfId="37" applyFont="1" applyBorder="1" applyAlignment="1" applyProtection="1">
      <alignment horizontal="center" vertical="center"/>
      <protection locked="0" hidden="1"/>
    </xf>
    <xf numFmtId="0" fontId="47" fillId="23" borderId="12" xfId="37" applyFont="1" applyFill="1" applyBorder="1" applyAlignment="1" applyProtection="1">
      <alignment horizontal="center" vertical="center"/>
      <protection hidden="1"/>
    </xf>
    <xf numFmtId="164" fontId="44" fillId="0" borderId="20" xfId="37" applyNumberFormat="1" applyFont="1" applyBorder="1" applyAlignment="1" applyProtection="1">
      <alignment horizontal="center" vertical="center"/>
      <protection locked="0" hidden="1"/>
    </xf>
    <xf numFmtId="164" fontId="44" fillId="0" borderId="21" xfId="37" applyNumberFormat="1" applyFont="1" applyBorder="1" applyAlignment="1" applyProtection="1">
      <alignment horizontal="center" vertical="center"/>
      <protection locked="0" hidden="1"/>
    </xf>
    <xf numFmtId="0" fontId="44" fillId="0" borderId="20" xfId="37" applyFont="1" applyBorder="1" applyAlignment="1" applyProtection="1">
      <alignment horizontal="center" vertical="center"/>
      <protection hidden="1"/>
    </xf>
    <xf numFmtId="0" fontId="44" fillId="0" borderId="20" xfId="37" applyFont="1" applyBorder="1" applyAlignment="1" applyProtection="1">
      <alignment horizontal="center" vertical="center" wrapText="1"/>
      <protection locked="0" hidden="1"/>
    </xf>
    <xf numFmtId="0" fontId="44" fillId="0" borderId="21" xfId="37" applyFont="1" applyBorder="1" applyAlignment="1" applyProtection="1">
      <alignment horizontal="center" vertical="center" wrapText="1"/>
      <protection locked="0" hidden="1"/>
    </xf>
    <xf numFmtId="0" fontId="44" fillId="0" borderId="20" xfId="37" applyFont="1" applyBorder="1" applyAlignment="1">
      <alignment horizontal="center" vertical="center"/>
    </xf>
    <xf numFmtId="0" fontId="44" fillId="0" borderId="21" xfId="37" applyFont="1" applyBorder="1" applyAlignment="1">
      <alignment horizontal="center" vertical="center"/>
    </xf>
    <xf numFmtId="0" fontId="15" fillId="0" borderId="22" xfId="0" applyFont="1" applyBorder="1" applyAlignment="1" applyProtection="1">
      <alignment horizontal="right"/>
      <protection hidden="1"/>
    </xf>
    <xf numFmtId="0" fontId="15" fillId="0" borderId="23" xfId="0" applyFont="1" applyBorder="1" applyAlignment="1" applyProtection="1">
      <alignment horizontal="right"/>
      <protection hidden="1"/>
    </xf>
    <xf numFmtId="0" fontId="41" fillId="0" borderId="23" xfId="0" applyFont="1" applyBorder="1" applyAlignment="1" applyProtection="1">
      <alignment horizontal="right" vertical="center" wrapText="1"/>
      <protection hidden="1"/>
    </xf>
    <xf numFmtId="0" fontId="41" fillId="0" borderId="23" xfId="0" applyFont="1" applyBorder="1" applyAlignment="1" applyProtection="1">
      <alignment horizontal="right" vertical="center"/>
      <protection hidden="1"/>
    </xf>
    <xf numFmtId="0" fontId="41" fillId="0" borderId="24" xfId="0" applyFont="1" applyBorder="1" applyAlignment="1" applyProtection="1">
      <alignment horizontal="right" vertical="center"/>
      <protection hidden="1"/>
    </xf>
    <xf numFmtId="0" fontId="14" fillId="23" borderId="25" xfId="0" applyFont="1" applyFill="1" applyBorder="1" applyAlignment="1" applyProtection="1">
      <alignment horizontal="center" vertical="center" textRotation="90" shrinkToFit="1"/>
      <protection hidden="1"/>
    </xf>
    <xf numFmtId="0" fontId="44" fillId="0" borderId="21" xfId="37" applyFont="1" applyBorder="1" applyAlignment="1" applyProtection="1">
      <alignment horizontal="center" vertical="center"/>
      <protection hidden="1"/>
    </xf>
    <xf numFmtId="0" fontId="44" fillId="0" borderId="12" xfId="37" applyFont="1" applyBorder="1" applyAlignment="1" applyProtection="1">
      <alignment horizontal="center" vertical="center"/>
      <protection locked="0" hidden="1"/>
    </xf>
    <xf numFmtId="0" fontId="46" fillId="0" borderId="20" xfId="37" applyFont="1" applyBorder="1" applyAlignment="1" applyProtection="1">
      <alignment horizontal="center" vertical="center"/>
      <protection locked="0" hidden="1"/>
    </xf>
    <xf numFmtId="0" fontId="46" fillId="0" borderId="19" xfId="37" applyFont="1" applyBorder="1" applyAlignment="1" applyProtection="1">
      <alignment horizontal="center" vertical="center"/>
      <protection locked="0" hidden="1"/>
    </xf>
    <xf numFmtId="0" fontId="46" fillId="0" borderId="21" xfId="37" applyFont="1" applyBorder="1" applyAlignment="1" applyProtection="1">
      <alignment horizontal="center" vertical="center"/>
      <protection locked="0" hidden="1"/>
    </xf>
    <xf numFmtId="0" fontId="47" fillId="0" borderId="27" xfId="37" applyFont="1" applyBorder="1" applyAlignment="1" applyProtection="1">
      <alignment horizontal="center" vertical="center"/>
      <protection locked="0" hidden="1"/>
    </xf>
    <xf numFmtId="0" fontId="46" fillId="0" borderId="12" xfId="37" quotePrefix="1" applyFont="1" applyBorder="1" applyAlignment="1" applyProtection="1">
      <alignment horizontal="center" vertical="center"/>
      <protection locked="0" hidden="1"/>
    </xf>
    <xf numFmtId="0" fontId="47" fillId="0" borderId="20" xfId="37" applyFont="1" applyBorder="1" applyAlignment="1" applyProtection="1">
      <alignment horizontal="center" vertical="center"/>
      <protection locked="0" hidden="1"/>
    </xf>
    <xf numFmtId="0" fontId="48" fillId="0" borderId="19" xfId="0" applyFont="1" applyBorder="1"/>
    <xf numFmtId="0" fontId="48" fillId="0" borderId="21" xfId="0" applyFont="1" applyBorder="1"/>
    <xf numFmtId="14" fontId="44" fillId="0" borderId="20" xfId="37" applyNumberFormat="1" applyFont="1" applyBorder="1" applyAlignment="1" applyProtection="1">
      <alignment horizontal="center" vertical="center"/>
      <protection locked="0" hidden="1"/>
    </xf>
    <xf numFmtId="14" fontId="44" fillId="0" borderId="26" xfId="37" applyNumberFormat="1" applyFont="1" applyBorder="1" applyAlignment="1" applyProtection="1">
      <alignment horizontal="center" vertical="center"/>
      <protection locked="0" hidden="1"/>
    </xf>
    <xf numFmtId="0" fontId="47" fillId="23" borderId="27" xfId="37" applyFont="1" applyFill="1" applyBorder="1" applyAlignment="1" applyProtection="1">
      <alignment horizontal="center" vertical="center"/>
      <protection hidden="1"/>
    </xf>
    <xf numFmtId="0" fontId="44" fillId="0" borderId="27" xfId="37" applyFont="1" applyBorder="1" applyAlignment="1" applyProtection="1">
      <alignment horizontal="center" vertical="center"/>
      <protection locked="0" hidden="1"/>
    </xf>
    <xf numFmtId="0" fontId="46" fillId="0" borderId="27" xfId="37" applyFont="1" applyBorder="1" applyAlignment="1" applyProtection="1">
      <alignment horizontal="center" vertical="center"/>
      <protection locked="0" hidden="1"/>
    </xf>
    <xf numFmtId="0" fontId="46" fillId="0" borderId="20" xfId="37" applyFont="1" applyBorder="1" applyAlignment="1" applyProtection="1">
      <alignment horizontal="center" vertical="center"/>
      <protection hidden="1"/>
    </xf>
    <xf numFmtId="0" fontId="46" fillId="0" borderId="19" xfId="37" applyFont="1" applyBorder="1" applyAlignment="1" applyProtection="1">
      <alignment horizontal="center" vertical="center"/>
      <protection hidden="1"/>
    </xf>
    <xf numFmtId="0" fontId="34" fillId="23" borderId="28" xfId="0" applyFont="1" applyFill="1" applyBorder="1" applyAlignment="1" applyProtection="1">
      <alignment horizontal="center" vertical="center" textRotation="90" shrinkToFit="1"/>
      <protection hidden="1"/>
    </xf>
    <xf numFmtId="0" fontId="34" fillId="23" borderId="29" xfId="0" applyFont="1" applyFill="1" applyBorder="1" applyAlignment="1" applyProtection="1">
      <alignment horizontal="center" vertical="center" textRotation="90" shrinkToFit="1"/>
      <protection hidden="1"/>
    </xf>
    <xf numFmtId="0" fontId="34" fillId="23" borderId="30" xfId="0" applyFont="1" applyFill="1" applyBorder="1" applyAlignment="1" applyProtection="1">
      <alignment horizontal="center" vertical="center" textRotation="90" shrinkToFit="1"/>
      <protection hidden="1"/>
    </xf>
    <xf numFmtId="0" fontId="51" fillId="28" borderId="20" xfId="37" applyFont="1" applyFill="1" applyBorder="1" applyAlignment="1" applyProtection="1">
      <alignment horizontal="center" vertical="center"/>
      <protection hidden="1"/>
    </xf>
    <xf numFmtId="0" fontId="51" fillId="28" borderId="19" xfId="37" applyFont="1" applyFill="1" applyBorder="1" applyAlignment="1" applyProtection="1">
      <alignment horizontal="center" vertical="center"/>
      <protection hidden="1"/>
    </xf>
    <xf numFmtId="0" fontId="51" fillId="28" borderId="26" xfId="37" applyFont="1" applyFill="1" applyBorder="1" applyAlignment="1" applyProtection="1">
      <alignment horizontal="center" vertical="center"/>
      <protection hidden="1"/>
    </xf>
    <xf numFmtId="2" fontId="38" fillId="23" borderId="20" xfId="37" applyNumberFormat="1" applyFont="1" applyFill="1" applyBorder="1" applyAlignment="1" applyProtection="1">
      <alignment horizontal="center" vertical="center"/>
      <protection hidden="1"/>
    </xf>
    <xf numFmtId="2" fontId="38" fillId="23" borderId="19" xfId="37" applyNumberFormat="1" applyFont="1" applyFill="1" applyBorder="1" applyAlignment="1" applyProtection="1">
      <alignment horizontal="center" vertical="center"/>
      <protection hidden="1"/>
    </xf>
    <xf numFmtId="2" fontId="38" fillId="23" borderId="21" xfId="37" applyNumberFormat="1" applyFont="1" applyFill="1" applyBorder="1" applyAlignment="1" applyProtection="1">
      <alignment horizontal="center" vertical="center"/>
      <protection hidden="1"/>
    </xf>
    <xf numFmtId="2" fontId="38" fillId="23" borderId="26" xfId="37" applyNumberFormat="1" applyFont="1" applyFill="1" applyBorder="1" applyAlignment="1" applyProtection="1">
      <alignment horizontal="center" vertical="center"/>
      <protection hidden="1"/>
    </xf>
    <xf numFmtId="164" fontId="46" fillId="0" borderId="20" xfId="37" applyNumberFormat="1" applyFont="1" applyBorder="1" applyAlignment="1" applyProtection="1">
      <alignment horizontal="center" vertical="center"/>
      <protection locked="0" hidden="1"/>
    </xf>
    <xf numFmtId="164" fontId="45" fillId="0" borderId="27" xfId="0" applyNumberFormat="1" applyFont="1" applyBorder="1" applyAlignment="1" applyProtection="1">
      <alignment horizontal="center"/>
      <protection locked="0" hidden="1"/>
    </xf>
    <xf numFmtId="2" fontId="49" fillId="0" borderId="20" xfId="37" applyNumberFormat="1" applyFont="1" applyBorder="1" applyAlignment="1" applyProtection="1">
      <alignment horizontal="center" vertical="center" wrapText="1"/>
      <protection hidden="1"/>
    </xf>
    <xf numFmtId="2" fontId="49" fillId="0" borderId="19" xfId="37" applyNumberFormat="1" applyFont="1" applyBorder="1" applyAlignment="1" applyProtection="1">
      <alignment horizontal="center" vertical="center" wrapText="1"/>
      <protection hidden="1"/>
    </xf>
    <xf numFmtId="2" fontId="49" fillId="0" borderId="21" xfId="37" applyNumberFormat="1" applyFont="1" applyBorder="1" applyAlignment="1" applyProtection="1">
      <alignment horizontal="center" vertical="center" wrapText="1"/>
      <protection hidden="1"/>
    </xf>
    <xf numFmtId="2" fontId="49" fillId="0" borderId="27" xfId="37" applyNumberFormat="1" applyFont="1" applyBorder="1" applyAlignment="1" applyProtection="1">
      <alignment horizontal="center" vertical="center" wrapText="1"/>
      <protection hidden="1"/>
    </xf>
    <xf numFmtId="2" fontId="49" fillId="0" borderId="26" xfId="37" applyNumberFormat="1" applyFont="1" applyBorder="1" applyAlignment="1" applyProtection="1">
      <alignment horizontal="center" vertical="center" wrapText="1"/>
      <protection hidden="1"/>
    </xf>
    <xf numFmtId="2" fontId="49" fillId="0" borderId="12" xfId="37" applyNumberFormat="1" applyFont="1" applyBorder="1" applyAlignment="1" applyProtection="1">
      <alignment horizontal="center" vertical="center"/>
      <protection locked="0" hidden="1"/>
    </xf>
    <xf numFmtId="2" fontId="49" fillId="0" borderId="13" xfId="37" applyNumberFormat="1" applyFont="1" applyBorder="1" applyAlignment="1" applyProtection="1">
      <alignment horizontal="center" vertical="center" wrapText="1"/>
      <protection locked="0" hidden="1"/>
    </xf>
    <xf numFmtId="2" fontId="49" fillId="0" borderId="10" xfId="37" applyNumberFormat="1" applyFont="1" applyBorder="1" applyAlignment="1" applyProtection="1">
      <alignment horizontal="center" vertical="center" wrapText="1"/>
      <protection locked="0" hidden="1"/>
    </xf>
    <xf numFmtId="2" fontId="49" fillId="0" borderId="31" xfId="37" applyNumberFormat="1" applyFont="1" applyBorder="1" applyAlignment="1" applyProtection="1">
      <alignment horizontal="center" vertical="center" wrapText="1"/>
      <protection locked="0" hidden="1"/>
    </xf>
    <xf numFmtId="2" fontId="49" fillId="0" borderId="12" xfId="37" applyNumberFormat="1" applyFont="1" applyBorder="1" applyAlignment="1" applyProtection="1">
      <alignment horizontal="center" vertical="center" wrapText="1"/>
      <protection locked="0" hidden="1"/>
    </xf>
    <xf numFmtId="2" fontId="49" fillId="0" borderId="27" xfId="37" applyNumberFormat="1" applyFont="1" applyBorder="1" applyAlignment="1" applyProtection="1">
      <alignment horizontal="center" vertical="center" wrapText="1"/>
      <protection locked="0" hidden="1"/>
    </xf>
    <xf numFmtId="2" fontId="49" fillId="0" borderId="27" xfId="37" applyNumberFormat="1" applyFont="1" applyBorder="1" applyAlignment="1" applyProtection="1">
      <alignment horizontal="center" vertical="center"/>
      <protection locked="0" hidden="1"/>
    </xf>
    <xf numFmtId="2" fontId="49" fillId="0" borderId="11" xfId="37" applyNumberFormat="1" applyFont="1" applyBorder="1" applyAlignment="1" applyProtection="1">
      <alignment horizontal="center" vertical="center" wrapText="1"/>
      <protection locked="0" hidden="1"/>
    </xf>
    <xf numFmtId="0" fontId="38" fillId="23" borderId="26" xfId="37" applyFont="1" applyFill="1" applyBorder="1" applyAlignment="1" applyProtection="1">
      <alignment horizontal="center" vertical="center"/>
      <protection hidden="1"/>
    </xf>
    <xf numFmtId="0" fontId="40" fillId="0" borderId="13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11" fillId="0" borderId="18" xfId="0" applyFont="1" applyBorder="1" applyAlignment="1" applyProtection="1">
      <alignment horizontal="left" vertical="center"/>
      <protection locked="0" hidden="1"/>
    </xf>
    <xf numFmtId="0" fontId="11" fillId="0" borderId="0" xfId="0" applyFont="1" applyAlignment="1" applyProtection="1">
      <alignment horizontal="left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left" vertical="center"/>
      <protection locked="0" hidden="1"/>
    </xf>
    <xf numFmtId="0" fontId="6" fillId="0" borderId="0" xfId="0" applyFont="1" applyAlignment="1" applyProtection="1">
      <alignment horizontal="left" vertical="center"/>
      <protection locked="0" hidden="1"/>
    </xf>
    <xf numFmtId="0" fontId="39" fillId="0" borderId="18" xfId="0" applyFont="1" applyBorder="1" applyAlignment="1" applyProtection="1">
      <alignment horizontal="center" vertical="center"/>
      <protection locked="0" hidden="1"/>
    </xf>
    <xf numFmtId="0" fontId="39" fillId="0" borderId="0" xfId="0" applyFont="1" applyAlignment="1" applyProtection="1">
      <alignment horizontal="center" vertical="center"/>
      <protection locked="0" hidden="1"/>
    </xf>
    <xf numFmtId="0" fontId="39" fillId="0" borderId="14" xfId="0" applyFont="1" applyBorder="1" applyAlignment="1" applyProtection="1">
      <alignment horizontal="center" vertical="center"/>
      <protection locked="0" hidden="1"/>
    </xf>
    <xf numFmtId="0" fontId="50" fillId="0" borderId="19" xfId="46" applyFont="1" applyBorder="1" applyAlignment="1">
      <alignment horizontal="center" vertical="center" wrapText="1"/>
    </xf>
    <xf numFmtId="0" fontId="50" fillId="0" borderId="21" xfId="46" applyFont="1" applyBorder="1" applyAlignment="1">
      <alignment horizontal="center" vertical="center" wrapText="1"/>
    </xf>
    <xf numFmtId="0" fontId="42" fillId="0" borderId="19" xfId="46" applyFont="1" applyBorder="1" applyAlignment="1">
      <alignment horizontal="center" vertical="center" wrapText="1"/>
    </xf>
    <xf numFmtId="0" fontId="13" fillId="0" borderId="20" xfId="46" applyFont="1" applyBorder="1" applyAlignment="1">
      <alignment horizontal="center" vertical="center"/>
    </xf>
    <xf numFmtId="0" fontId="13" fillId="0" borderId="19" xfId="46" applyFont="1" applyBorder="1" applyAlignment="1">
      <alignment horizontal="center" vertical="center"/>
    </xf>
    <xf numFmtId="0" fontId="0" fillId="0" borderId="14" xfId="0" applyBorder="1" applyAlignment="1" applyProtection="1">
      <alignment horizontal="left" vertical="center"/>
      <protection locked="0" hidden="1"/>
    </xf>
    <xf numFmtId="0" fontId="11" fillId="0" borderId="18" xfId="0" applyFont="1" applyBorder="1" applyAlignment="1" applyProtection="1">
      <alignment horizontal="center" vertical="center"/>
      <protection locked="0" hidden="1"/>
    </xf>
    <xf numFmtId="0" fontId="11" fillId="0" borderId="0" xfId="0" applyFont="1" applyAlignment="1" applyProtection="1">
      <alignment horizontal="center" vertical="center"/>
      <protection locked="0" hidden="1"/>
    </xf>
    <xf numFmtId="0" fontId="16" fillId="24" borderId="0" xfId="0" applyFont="1" applyFill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2" fillId="0" borderId="18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6" fillId="25" borderId="0" xfId="0" applyFont="1" applyFill="1" applyAlignment="1">
      <alignment horizontal="center" vertical="center"/>
    </xf>
    <xf numFmtId="0" fontId="16" fillId="26" borderId="0" xfId="0" applyFont="1" applyFill="1" applyAlignment="1">
      <alignment horizontal="center" vertical="center"/>
    </xf>
    <xf numFmtId="49" fontId="37" fillId="29" borderId="0" xfId="0" applyNumberFormat="1" applyFont="1" applyFill="1" applyAlignment="1" applyProtection="1">
      <alignment horizontal="left" vertical="center"/>
      <protection locked="0" hidden="1"/>
    </xf>
    <xf numFmtId="14" fontId="0" fillId="29" borderId="0" xfId="0" applyNumberFormat="1" applyFill="1" applyAlignment="1" applyProtection="1">
      <alignment horizontal="left" vertical="center"/>
      <protection locked="0" hidden="1"/>
    </xf>
    <xf numFmtId="0" fontId="0" fillId="29" borderId="0" xfId="0" applyFill="1" applyAlignment="1" applyProtection="1">
      <alignment horizontal="left" vertical="center"/>
      <protection locked="0" hidden="1"/>
    </xf>
    <xf numFmtId="14" fontId="0" fillId="29" borderId="14" xfId="0" applyNumberFormat="1" applyFill="1" applyBorder="1" applyAlignment="1" applyProtection="1">
      <alignment horizontal="left" vertical="center"/>
      <protection locked="0" hidden="1"/>
    </xf>
    <xf numFmtId="0" fontId="0" fillId="29" borderId="0" xfId="0" applyFill="1" applyProtection="1">
      <protection locked="0" hidden="1"/>
    </xf>
    <xf numFmtId="0" fontId="0" fillId="29" borderId="14" xfId="0" applyFill="1" applyBorder="1" applyProtection="1">
      <protection locked="0" hidden="1"/>
    </xf>
    <xf numFmtId="14" fontId="0" fillId="29" borderId="14" xfId="0" applyNumberFormat="1" applyFill="1" applyBorder="1" applyAlignment="1" applyProtection="1">
      <alignment horizontal="center" vertical="center"/>
      <protection locked="0" hidden="1"/>
    </xf>
    <xf numFmtId="0" fontId="0" fillId="29" borderId="0" xfId="0" applyFill="1" applyAlignment="1" applyProtection="1">
      <alignment horizontal="center" vertical="center"/>
      <protection locked="0" hidden="1"/>
    </xf>
    <xf numFmtId="0" fontId="0" fillId="29" borderId="0" xfId="0" applyFill="1" applyAlignment="1" applyProtection="1">
      <alignment horizontal="center" vertical="center" wrapText="1"/>
      <protection locked="0" hidden="1"/>
    </xf>
    <xf numFmtId="0" fontId="0" fillId="29" borderId="0" xfId="0" quotePrefix="1" applyFill="1" applyAlignment="1" applyProtection="1">
      <alignment horizontal="center" vertical="center"/>
      <protection locked="0" hidden="1"/>
    </xf>
    <xf numFmtId="0" fontId="0" fillId="29" borderId="14" xfId="0" quotePrefix="1" applyFill="1" applyBorder="1" applyAlignment="1" applyProtection="1">
      <alignment horizontal="center" vertical="center"/>
      <protection locked="0" hidden="1"/>
    </xf>
    <xf numFmtId="0" fontId="0" fillId="29" borderId="0" xfId="0" applyFill="1" applyAlignment="1" applyProtection="1">
      <alignment horizontal="left" vertical="center"/>
      <protection locked="0" hidden="1"/>
    </xf>
    <xf numFmtId="0" fontId="52" fillId="29" borderId="0" xfId="0" applyFont="1" applyFill="1" applyAlignment="1" applyProtection="1">
      <alignment horizontal="center" vertical="center"/>
      <protection locked="0" hidden="1"/>
    </xf>
    <xf numFmtId="0" fontId="52" fillId="29" borderId="0" xfId="0" applyFont="1" applyFill="1" applyAlignment="1" applyProtection="1">
      <alignment horizontal="center" vertical="center"/>
      <protection locked="0" hidden="1"/>
    </xf>
    <xf numFmtId="0" fontId="52" fillId="29" borderId="0" xfId="0" applyFont="1" applyFill="1" applyAlignment="1" applyProtection="1">
      <alignment horizontal="center"/>
      <protection locked="0" hidden="1"/>
    </xf>
    <xf numFmtId="0" fontId="52" fillId="29" borderId="14" xfId="0" applyFont="1" applyFill="1" applyBorder="1" applyAlignment="1" applyProtection="1">
      <alignment horizontal="center"/>
      <protection locked="0" hidden="1"/>
    </xf>
    <xf numFmtId="0" fontId="0" fillId="29" borderId="14" xfId="0" applyFill="1" applyBorder="1" applyAlignment="1" applyProtection="1">
      <alignment horizontal="left" vertical="center"/>
      <protection locked="0" hidden="1"/>
    </xf>
    <xf numFmtId="0" fontId="0" fillId="29" borderId="0" xfId="0" applyFill="1" applyAlignment="1" applyProtection="1">
      <alignment horizontal="left" vertical="center" wrapText="1"/>
      <protection locked="0" hidden="1"/>
    </xf>
    <xf numFmtId="0" fontId="0" fillId="29" borderId="14" xfId="0" applyFill="1" applyBorder="1" applyAlignment="1" applyProtection="1">
      <alignment horizontal="left" vertical="center" wrapText="1"/>
      <protection locked="0" hidden="1"/>
    </xf>
    <xf numFmtId="2" fontId="49" fillId="29" borderId="12" xfId="37" applyNumberFormat="1" applyFont="1" applyFill="1" applyBorder="1" applyAlignment="1" applyProtection="1">
      <alignment horizontal="center" vertical="center"/>
      <protection locked="0" hidden="1"/>
    </xf>
    <xf numFmtId="2" fontId="49" fillId="29" borderId="12" xfId="37" applyNumberFormat="1" applyFont="1" applyFill="1" applyBorder="1" applyAlignment="1" applyProtection="1">
      <alignment horizontal="center" vertical="center" wrapText="1"/>
      <protection hidden="1"/>
    </xf>
    <xf numFmtId="2" fontId="49" fillId="29" borderId="12" xfId="37" applyNumberFormat="1" applyFont="1" applyFill="1" applyBorder="1" applyAlignment="1" applyProtection="1">
      <alignment horizontal="center" vertical="center"/>
      <protection hidden="1"/>
    </xf>
    <xf numFmtId="2" fontId="49" fillId="29" borderId="27" xfId="37" applyNumberFormat="1" applyFont="1" applyFill="1" applyBorder="1" applyAlignment="1" applyProtection="1">
      <alignment horizontal="center" vertical="center" wrapText="1"/>
      <protection hidden="1"/>
    </xf>
    <xf numFmtId="2" fontId="49" fillId="29" borderId="20" xfId="37" applyNumberFormat="1" applyFont="1" applyFill="1" applyBorder="1" applyAlignment="1" applyProtection="1">
      <alignment horizontal="center" vertical="center" wrapText="1"/>
      <protection hidden="1"/>
    </xf>
    <xf numFmtId="2" fontId="49" fillId="29" borderId="19" xfId="37" applyNumberFormat="1" applyFont="1" applyFill="1" applyBorder="1" applyAlignment="1" applyProtection="1">
      <alignment horizontal="center" vertical="center" wrapText="1"/>
      <protection hidden="1"/>
    </xf>
    <xf numFmtId="2" fontId="49" fillId="29" borderId="26" xfId="37" applyNumberFormat="1" applyFont="1" applyFill="1" applyBorder="1" applyAlignment="1" applyProtection="1">
      <alignment horizontal="center" vertical="center" wrapText="1"/>
      <protection hidden="1"/>
    </xf>
    <xf numFmtId="2" fontId="49" fillId="29" borderId="21" xfId="37" applyNumberFormat="1" applyFont="1" applyFill="1" applyBorder="1" applyAlignment="1" applyProtection="1">
      <alignment horizontal="center" vertical="center" wrapText="1"/>
      <protection hidden="1"/>
    </xf>
    <xf numFmtId="2" fontId="49" fillId="29" borderId="13" xfId="37" applyNumberFormat="1" applyFont="1" applyFill="1" applyBorder="1" applyAlignment="1" applyProtection="1">
      <alignment horizontal="center" vertical="center" wrapText="1"/>
      <protection locked="0" hidden="1"/>
    </xf>
    <xf numFmtId="2" fontId="49" fillId="29" borderId="10" xfId="37" applyNumberFormat="1" applyFont="1" applyFill="1" applyBorder="1" applyAlignment="1" applyProtection="1">
      <alignment horizontal="center" vertical="center" wrapText="1"/>
      <protection locked="0" hidden="1"/>
    </xf>
    <xf numFmtId="2" fontId="49" fillId="29" borderId="11" xfId="37" applyNumberFormat="1" applyFont="1" applyFill="1" applyBorder="1" applyAlignment="1" applyProtection="1">
      <alignment horizontal="center" vertical="center" wrapText="1"/>
      <protection locked="0" hidden="1"/>
    </xf>
    <xf numFmtId="2" fontId="49" fillId="29" borderId="31" xfId="37" applyNumberFormat="1" applyFont="1" applyFill="1" applyBorder="1" applyAlignment="1" applyProtection="1">
      <alignment horizontal="center" vertical="center" wrapText="1"/>
      <protection locked="0" hidden="1"/>
    </xf>
    <xf numFmtId="2" fontId="49" fillId="29" borderId="12" xfId="37" applyNumberFormat="1" applyFont="1" applyFill="1" applyBorder="1" applyAlignment="1" applyProtection="1">
      <alignment horizontal="center" vertical="center" wrapText="1"/>
      <protection locked="0" hidden="1"/>
    </xf>
    <xf numFmtId="2" fontId="49" fillId="29" borderId="27" xfId="37" applyNumberFormat="1" applyFont="1" applyFill="1" applyBorder="1" applyAlignment="1" applyProtection="1">
      <alignment horizontal="center" vertical="center" wrapText="1"/>
      <protection locked="0" hidden="1"/>
    </xf>
    <xf numFmtId="2" fontId="49" fillId="29" borderId="12" xfId="37" applyNumberFormat="1" applyFont="1" applyFill="1" applyBorder="1" applyAlignment="1" applyProtection="1">
      <alignment horizontal="center" vertical="center"/>
      <protection locked="0" hidden="1"/>
    </xf>
    <xf numFmtId="2" fontId="49" fillId="29" borderId="27" xfId="37" applyNumberFormat="1" applyFont="1" applyFill="1" applyBorder="1" applyAlignment="1" applyProtection="1">
      <alignment horizontal="center" vertical="center"/>
      <protection locked="0" hidden="1"/>
    </xf>
    <xf numFmtId="0" fontId="35" fillId="29" borderId="34" xfId="37" applyFont="1" applyFill="1" applyBorder="1" applyAlignment="1" applyProtection="1">
      <alignment horizontal="left" vertical="center" wrapText="1"/>
      <protection locked="0" hidden="1"/>
    </xf>
    <xf numFmtId="0" fontId="35" fillId="29" borderId="33" xfId="37" applyFont="1" applyFill="1" applyBorder="1" applyAlignment="1" applyProtection="1">
      <alignment horizontal="left" vertical="center" wrapText="1"/>
      <protection locked="0" hidden="1"/>
    </xf>
    <xf numFmtId="0" fontId="35" fillId="29" borderId="35" xfId="37" applyFont="1" applyFill="1" applyBorder="1" applyAlignment="1" applyProtection="1">
      <alignment horizontal="left" vertical="center" wrapText="1"/>
      <protection locked="0" hidden="1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Eingabe" xfId="27" xr:uid="{00000000-0005-0000-0000-00001A000000}"/>
    <cellStyle name="Ergebnis" xfId="28" xr:uid="{00000000-0005-0000-0000-00001B000000}"/>
    <cellStyle name="Erklärender Text" xfId="29" xr:uid="{00000000-0005-0000-0000-00001C000000}"/>
    <cellStyle name="Gut" xfId="30" xr:uid="{00000000-0005-0000-0000-00001D000000}"/>
    <cellStyle name="Normal" xfId="0" builtinId="0"/>
    <cellStyle name="Normal 2" xfId="31" xr:uid="{00000000-0005-0000-0000-00001F000000}"/>
    <cellStyle name="Normal 3" xfId="32" xr:uid="{00000000-0005-0000-0000-000020000000}"/>
    <cellStyle name="Normal 4" xfId="33" xr:uid="{00000000-0005-0000-0000-000021000000}"/>
    <cellStyle name="Normal_PANNNJJ4.XLS (2)" xfId="34" xr:uid="{00000000-0005-0000-0000-000022000000}"/>
    <cellStyle name="Normal_R&amp;H_Blank" xfId="46" xr:uid="{00000000-0005-0000-0000-000023000000}"/>
    <cellStyle name="Notiz" xfId="35" xr:uid="{00000000-0005-0000-0000-000024000000}"/>
    <cellStyle name="Schlecht" xfId="36" xr:uid="{00000000-0005-0000-0000-000025000000}"/>
    <cellStyle name="Standard 5" xfId="37" xr:uid="{00000000-0005-0000-0000-000026000000}"/>
    <cellStyle name="Überschrift" xfId="38" xr:uid="{00000000-0005-0000-0000-000027000000}"/>
    <cellStyle name="Überschrift 1" xfId="39" xr:uid="{00000000-0005-0000-0000-000028000000}"/>
    <cellStyle name="Überschrift 2" xfId="40" xr:uid="{00000000-0005-0000-0000-000029000000}"/>
    <cellStyle name="Überschrift 3" xfId="41" xr:uid="{00000000-0005-0000-0000-00002A000000}"/>
    <cellStyle name="Überschrift 4" xfId="42" xr:uid="{00000000-0005-0000-0000-00002B000000}"/>
    <cellStyle name="Verknüpfte Zelle" xfId="43" xr:uid="{00000000-0005-0000-0000-00002C000000}"/>
    <cellStyle name="Warnender Text" xfId="44" xr:uid="{00000000-0005-0000-0000-00002D000000}"/>
    <cellStyle name="Zelle überprüfen" xfId="45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</xdr:colOff>
      <xdr:row>0</xdr:row>
      <xdr:rowOff>201707</xdr:rowOff>
    </xdr:from>
    <xdr:to>
      <xdr:col>1</xdr:col>
      <xdr:colOff>789171</xdr:colOff>
      <xdr:row>0</xdr:row>
      <xdr:rowOff>732118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FDEAFE-D934-963E-F203-194386A1F8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36" t="49533" r="71479" b="39110"/>
        <a:stretch/>
      </xdr:blipFill>
      <xdr:spPr>
        <a:xfrm>
          <a:off x="67235" y="201707"/>
          <a:ext cx="1521289" cy="530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301625</xdr:rowOff>
    </xdr:from>
    <xdr:to>
      <xdr:col>2</xdr:col>
      <xdr:colOff>361961</xdr:colOff>
      <xdr:row>0</xdr:row>
      <xdr:rowOff>1285875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8CF845-0252-466A-BE7E-8F054817DD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9533" r="71479" b="39110"/>
        <a:stretch/>
      </xdr:blipFill>
      <xdr:spPr>
        <a:xfrm>
          <a:off x="142875" y="301625"/>
          <a:ext cx="4394211" cy="984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301625</xdr:rowOff>
    </xdr:from>
    <xdr:to>
      <xdr:col>2</xdr:col>
      <xdr:colOff>361961</xdr:colOff>
      <xdr:row>0</xdr:row>
      <xdr:rowOff>1285875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A4EBF-E426-44C5-8967-1BFD4D47CA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9533" r="71479" b="39110"/>
        <a:stretch/>
      </xdr:blipFill>
      <xdr:spPr>
        <a:xfrm>
          <a:off x="142875" y="301625"/>
          <a:ext cx="4391036" cy="984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952501</xdr:colOff>
      <xdr:row>1</xdr:row>
      <xdr:rowOff>127000</xdr:rowOff>
    </xdr:from>
    <xdr:to>
      <xdr:col>5</xdr:col>
      <xdr:colOff>984251</xdr:colOff>
      <xdr:row>1</xdr:row>
      <xdr:rowOff>603250</xdr:rowOff>
    </xdr:to>
    <xdr:sp macro="" textlink="">
      <xdr:nvSpPr>
        <xdr:cNvPr id="3" name="Textfeld 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180418" y="317500"/>
          <a:ext cx="2603500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 rtl="0">
            <a:defRPr sz="1000"/>
          </a:pPr>
          <a:endParaRPr lang="en-US" sz="1400" b="1" i="0" strike="noStrike">
            <a:solidFill>
              <a:srgbClr val="333333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2000" b="1" i="0" strike="noStrike">
              <a:solidFill>
                <a:srgbClr val="333333"/>
              </a:solidFill>
              <a:latin typeface="Calibri"/>
              <a:cs typeface="Calibri"/>
            </a:rPr>
            <a:t>Tyre evaluation sheet </a:t>
          </a:r>
        </a:p>
      </xdr:txBody>
    </xdr:sp>
    <xdr:clientData/>
  </xdr:twoCellAnchor>
  <xdr:twoCellAnchor editAs="oneCell">
    <xdr:from>
      <xdr:col>0</xdr:col>
      <xdr:colOff>42333</xdr:colOff>
      <xdr:row>0</xdr:row>
      <xdr:rowOff>158749</xdr:rowOff>
    </xdr:from>
    <xdr:to>
      <xdr:col>3</xdr:col>
      <xdr:colOff>74637</xdr:colOff>
      <xdr:row>1</xdr:row>
      <xdr:rowOff>698499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3F7878-26A9-4CE8-B50C-64B11FA597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9533" r="71479" b="39110"/>
        <a:stretch/>
      </xdr:blipFill>
      <xdr:spPr>
        <a:xfrm>
          <a:off x="42333" y="158749"/>
          <a:ext cx="3260221" cy="730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H50"/>
  <sheetViews>
    <sheetView view="pageBreakPreview" topLeftCell="A32" zoomScale="85" zoomScaleNormal="100" zoomScaleSheetLayoutView="85" workbookViewId="0">
      <selection activeCell="C41" sqref="C41:F46"/>
    </sheetView>
  </sheetViews>
  <sheetFormatPr defaultColWidth="11.453125" defaultRowHeight="14.5" x14ac:dyDescent="0.35"/>
  <cols>
    <col min="3" max="3" width="13" customWidth="1"/>
    <col min="6" max="6" width="15.453125" customWidth="1"/>
    <col min="7" max="7" width="10" customWidth="1"/>
    <col min="8" max="8" width="15.54296875" customWidth="1"/>
  </cols>
  <sheetData>
    <row r="1" spans="1:8" ht="76" customHeight="1" x14ac:dyDescent="0.35">
      <c r="A1" s="158" t="s">
        <v>50</v>
      </c>
      <c r="B1" s="159"/>
      <c r="C1" s="157" t="s">
        <v>74</v>
      </c>
      <c r="D1" s="157"/>
      <c r="E1" s="157"/>
      <c r="F1" s="157"/>
      <c r="G1" s="155" t="s">
        <v>82</v>
      </c>
      <c r="H1" s="156"/>
    </row>
    <row r="2" spans="1:8" x14ac:dyDescent="0.35">
      <c r="A2" s="141" t="s">
        <v>75</v>
      </c>
      <c r="B2" s="142"/>
      <c r="C2" s="142"/>
      <c r="D2" s="142"/>
      <c r="E2" s="142"/>
      <c r="F2" s="142"/>
      <c r="G2" s="142"/>
      <c r="H2" s="143"/>
    </row>
    <row r="3" spans="1:8" ht="15.75" customHeight="1" x14ac:dyDescent="0.35">
      <c r="A3" s="144"/>
      <c r="B3" s="145"/>
      <c r="C3" s="145"/>
      <c r="D3" s="145"/>
      <c r="E3" s="145"/>
      <c r="F3" s="145"/>
      <c r="G3" s="145"/>
      <c r="H3" s="146"/>
    </row>
    <row r="4" spans="1:8" x14ac:dyDescent="0.35">
      <c r="A4" s="3"/>
      <c r="B4" s="1"/>
      <c r="C4" s="1"/>
      <c r="D4" s="1"/>
      <c r="E4" s="1"/>
      <c r="F4" s="1"/>
      <c r="G4" s="1"/>
      <c r="H4" s="2"/>
    </row>
    <row r="5" spans="1:8" x14ac:dyDescent="0.35">
      <c r="A5" s="147" t="s">
        <v>47</v>
      </c>
      <c r="B5" s="148"/>
      <c r="C5" s="183" t="s">
        <v>77</v>
      </c>
      <c r="D5" s="183"/>
      <c r="E5" s="183"/>
      <c r="F5" s="183"/>
      <c r="G5" s="149" t="s">
        <v>19</v>
      </c>
      <c r="H5" s="189">
        <v>46185</v>
      </c>
    </row>
    <row r="6" spans="1:8" x14ac:dyDescent="0.35">
      <c r="A6" s="147"/>
      <c r="B6" s="148"/>
      <c r="C6" s="183"/>
      <c r="D6" s="183"/>
      <c r="E6" s="183"/>
      <c r="F6" s="183"/>
      <c r="G6" s="149"/>
      <c r="H6" s="189"/>
    </row>
    <row r="7" spans="1:8" x14ac:dyDescent="0.35">
      <c r="A7" s="147" t="s">
        <v>20</v>
      </c>
      <c r="B7" s="148"/>
      <c r="C7" s="184">
        <v>46185</v>
      </c>
      <c r="D7" s="185"/>
      <c r="E7" s="185"/>
      <c r="F7" s="185"/>
      <c r="G7" s="7"/>
      <c r="H7" s="15"/>
    </row>
    <row r="8" spans="1:8" x14ac:dyDescent="0.35">
      <c r="A8" s="147"/>
      <c r="B8" s="148"/>
      <c r="C8" s="185"/>
      <c r="D8" s="185"/>
      <c r="E8" s="185"/>
      <c r="F8" s="185"/>
      <c r="G8" s="7"/>
      <c r="H8" s="15"/>
    </row>
    <row r="9" spans="1:8" x14ac:dyDescent="0.35">
      <c r="A9" s="147" t="s">
        <v>21</v>
      </c>
      <c r="B9" s="148"/>
      <c r="C9" s="184" t="s">
        <v>115</v>
      </c>
      <c r="D9" s="184"/>
      <c r="E9" s="184"/>
      <c r="F9" s="184"/>
      <c r="G9" s="184"/>
      <c r="H9" s="186"/>
    </row>
    <row r="10" spans="1:8" x14ac:dyDescent="0.35">
      <c r="A10" s="147"/>
      <c r="B10" s="148"/>
      <c r="C10" s="184"/>
      <c r="D10" s="184"/>
      <c r="E10" s="184"/>
      <c r="F10" s="184"/>
      <c r="G10" s="184"/>
      <c r="H10" s="186"/>
    </row>
    <row r="11" spans="1:8" x14ac:dyDescent="0.35">
      <c r="A11" s="147" t="s">
        <v>54</v>
      </c>
      <c r="B11" s="148"/>
      <c r="C11" s="185" t="s">
        <v>85</v>
      </c>
      <c r="D11" s="185"/>
      <c r="E11" s="185"/>
      <c r="F11" s="185"/>
      <c r="G11" s="187"/>
      <c r="H11" s="188"/>
    </row>
    <row r="12" spans="1:8" x14ac:dyDescent="0.35">
      <c r="A12" s="147"/>
      <c r="B12" s="148"/>
      <c r="C12" s="185"/>
      <c r="D12" s="185"/>
      <c r="E12" s="185"/>
      <c r="F12" s="185"/>
      <c r="G12" s="187"/>
      <c r="H12" s="188"/>
    </row>
    <row r="13" spans="1:8" ht="15.5" x14ac:dyDescent="0.35">
      <c r="A13" s="24"/>
      <c r="B13" s="25"/>
      <c r="C13" s="194"/>
      <c r="D13" s="194"/>
      <c r="E13" s="194"/>
      <c r="F13" s="194"/>
      <c r="G13" s="187"/>
      <c r="H13" s="188"/>
    </row>
    <row r="14" spans="1:8" ht="15.5" x14ac:dyDescent="0.35">
      <c r="A14" s="24"/>
      <c r="B14" s="25"/>
      <c r="C14" s="195" t="s">
        <v>197</v>
      </c>
      <c r="D14" s="196" t="s">
        <v>198</v>
      </c>
      <c r="E14" s="196"/>
      <c r="F14" s="195" t="s">
        <v>15</v>
      </c>
      <c r="G14" s="197" t="s">
        <v>199</v>
      </c>
      <c r="H14" s="198" t="s">
        <v>200</v>
      </c>
    </row>
    <row r="15" spans="1:8" x14ac:dyDescent="0.35">
      <c r="A15" s="147" t="s">
        <v>48</v>
      </c>
      <c r="B15" s="148"/>
      <c r="C15" s="190" t="s">
        <v>116</v>
      </c>
      <c r="D15" s="190" t="s">
        <v>117</v>
      </c>
      <c r="E15" s="190"/>
      <c r="F15" s="191" t="s">
        <v>137</v>
      </c>
      <c r="G15" s="192" t="s">
        <v>84</v>
      </c>
      <c r="H15" s="193"/>
    </row>
    <row r="16" spans="1:8" x14ac:dyDescent="0.35">
      <c r="A16" s="147"/>
      <c r="B16" s="148"/>
      <c r="C16" s="190"/>
      <c r="D16" s="190"/>
      <c r="E16" s="190"/>
      <c r="F16" s="191"/>
      <c r="G16" s="192"/>
      <c r="H16" s="193"/>
    </row>
    <row r="17" spans="1:8" ht="15" customHeight="1" x14ac:dyDescent="0.35">
      <c r="A17" s="147"/>
      <c r="B17" s="148"/>
      <c r="C17" s="190" t="s">
        <v>136</v>
      </c>
      <c r="D17" s="190" t="s">
        <v>78</v>
      </c>
      <c r="E17" s="190"/>
      <c r="F17" s="191" t="s">
        <v>83</v>
      </c>
      <c r="G17" s="192" t="s">
        <v>84</v>
      </c>
      <c r="H17" s="193"/>
    </row>
    <row r="18" spans="1:8" x14ac:dyDescent="0.35">
      <c r="A18" s="147"/>
      <c r="B18" s="148"/>
      <c r="C18" s="190"/>
      <c r="D18" s="190"/>
      <c r="E18" s="190"/>
      <c r="F18" s="191"/>
      <c r="G18" s="192"/>
      <c r="H18" s="193"/>
    </row>
    <row r="19" spans="1:8" x14ac:dyDescent="0.35">
      <c r="A19" s="147"/>
      <c r="B19" s="148"/>
      <c r="C19" s="190" t="s">
        <v>134</v>
      </c>
      <c r="D19" s="190" t="s">
        <v>78</v>
      </c>
      <c r="E19" s="190"/>
      <c r="F19" s="191" t="s">
        <v>83</v>
      </c>
      <c r="G19" s="192"/>
      <c r="H19" s="193"/>
    </row>
    <row r="20" spans="1:8" x14ac:dyDescent="0.35">
      <c r="A20" s="147"/>
      <c r="B20" s="148"/>
      <c r="C20" s="190"/>
      <c r="D20" s="190"/>
      <c r="E20" s="190"/>
      <c r="F20" s="191"/>
      <c r="G20" s="192"/>
      <c r="H20" s="193"/>
    </row>
    <row r="21" spans="1:8" x14ac:dyDescent="0.35">
      <c r="A21" s="147"/>
      <c r="B21" s="148"/>
      <c r="C21" s="190" t="s">
        <v>135</v>
      </c>
      <c r="D21" s="190" t="s">
        <v>78</v>
      </c>
      <c r="E21" s="190"/>
      <c r="F21" s="191" t="s">
        <v>83</v>
      </c>
      <c r="G21" s="192"/>
      <c r="H21" s="193"/>
    </row>
    <row r="22" spans="1:8" x14ac:dyDescent="0.35">
      <c r="A22" s="147"/>
      <c r="B22" s="148"/>
      <c r="C22" s="190"/>
      <c r="D22" s="190"/>
      <c r="E22" s="190"/>
      <c r="F22" s="191"/>
      <c r="G22" s="192"/>
      <c r="H22" s="193"/>
    </row>
    <row r="23" spans="1:8" x14ac:dyDescent="0.35">
      <c r="A23" s="147"/>
      <c r="B23" s="148"/>
      <c r="C23" s="190" t="s">
        <v>165</v>
      </c>
      <c r="D23" s="190" t="s">
        <v>78</v>
      </c>
      <c r="E23" s="190"/>
      <c r="F23" s="191" t="s">
        <v>83</v>
      </c>
      <c r="G23" s="192"/>
      <c r="H23" s="193"/>
    </row>
    <row r="24" spans="1:8" x14ac:dyDescent="0.35">
      <c r="A24" s="147"/>
      <c r="B24" s="148"/>
      <c r="C24" s="190"/>
      <c r="D24" s="190"/>
      <c r="E24" s="190"/>
      <c r="F24" s="191"/>
      <c r="G24" s="192"/>
      <c r="H24" s="193"/>
    </row>
    <row r="25" spans="1:8" ht="15" customHeight="1" x14ac:dyDescent="0.35">
      <c r="A25" s="147"/>
      <c r="B25" s="148"/>
      <c r="C25" s="190" t="s">
        <v>166</v>
      </c>
      <c r="D25" s="190" t="s">
        <v>78</v>
      </c>
      <c r="E25" s="190"/>
      <c r="F25" s="191" t="s">
        <v>83</v>
      </c>
      <c r="G25" s="192"/>
      <c r="H25" s="193"/>
    </row>
    <row r="26" spans="1:8" ht="15" customHeight="1" x14ac:dyDescent="0.35">
      <c r="A26" s="147"/>
      <c r="B26" s="148"/>
      <c r="C26" s="190"/>
      <c r="D26" s="190"/>
      <c r="E26" s="190"/>
      <c r="F26" s="191"/>
      <c r="G26" s="192"/>
      <c r="H26" s="193"/>
    </row>
    <row r="27" spans="1:8" ht="15" customHeight="1" x14ac:dyDescent="0.35">
      <c r="A27" s="147"/>
      <c r="B27" s="148"/>
      <c r="C27" s="190" t="s">
        <v>167</v>
      </c>
      <c r="D27" s="190" t="s">
        <v>78</v>
      </c>
      <c r="E27" s="190"/>
      <c r="F27" s="191" t="s">
        <v>83</v>
      </c>
      <c r="G27" s="192"/>
      <c r="H27" s="193"/>
    </row>
    <row r="28" spans="1:8" ht="15" customHeight="1" x14ac:dyDescent="0.35">
      <c r="A28" s="147"/>
      <c r="B28" s="148"/>
      <c r="C28" s="190"/>
      <c r="D28" s="190"/>
      <c r="E28" s="190"/>
      <c r="F28" s="191"/>
      <c r="G28" s="192"/>
      <c r="H28" s="193"/>
    </row>
    <row r="29" spans="1:8" ht="15" customHeight="1" x14ac:dyDescent="0.35">
      <c r="A29" s="147"/>
      <c r="B29" s="148"/>
      <c r="C29" s="190" t="s">
        <v>168</v>
      </c>
      <c r="D29" s="190" t="s">
        <v>78</v>
      </c>
      <c r="E29" s="190"/>
      <c r="F29" s="191" t="s">
        <v>83</v>
      </c>
      <c r="G29" s="192"/>
      <c r="H29" s="193"/>
    </row>
    <row r="30" spans="1:8" ht="15" customHeight="1" x14ac:dyDescent="0.35">
      <c r="A30" s="147"/>
      <c r="B30" s="148"/>
      <c r="C30" s="190"/>
      <c r="D30" s="190"/>
      <c r="E30" s="190"/>
      <c r="F30" s="191"/>
      <c r="G30" s="192"/>
      <c r="H30" s="193"/>
    </row>
    <row r="31" spans="1:8" ht="15" customHeight="1" x14ac:dyDescent="0.35">
      <c r="A31" s="24"/>
      <c r="B31" s="25"/>
      <c r="C31" s="26"/>
      <c r="D31" s="26"/>
      <c r="E31" s="26"/>
      <c r="F31" s="17"/>
      <c r="G31" s="17"/>
      <c r="H31" s="18"/>
    </row>
    <row r="32" spans="1:8" ht="15" customHeight="1" x14ac:dyDescent="0.35">
      <c r="A32" s="147" t="s">
        <v>22</v>
      </c>
      <c r="B32" s="148"/>
      <c r="C32" s="185" t="s">
        <v>71</v>
      </c>
      <c r="D32" s="185"/>
      <c r="E32" s="185"/>
      <c r="F32" s="185"/>
      <c r="G32" s="185"/>
      <c r="H32" s="199"/>
    </row>
    <row r="33" spans="1:8" ht="15" customHeight="1" x14ac:dyDescent="0.35">
      <c r="A33" s="147"/>
      <c r="B33" s="148"/>
      <c r="C33" s="185"/>
      <c r="D33" s="185"/>
      <c r="E33" s="185"/>
      <c r="F33" s="185"/>
      <c r="G33" s="185"/>
      <c r="H33" s="199"/>
    </row>
    <row r="34" spans="1:8" ht="15" customHeight="1" x14ac:dyDescent="0.35">
      <c r="A34" s="161"/>
      <c r="B34" s="162"/>
      <c r="C34" s="150"/>
      <c r="D34" s="150"/>
      <c r="E34" s="150"/>
      <c r="F34" s="150"/>
      <c r="G34" s="150"/>
      <c r="H34" s="160"/>
    </row>
    <row r="35" spans="1:8" ht="15" customHeight="1" x14ac:dyDescent="0.35">
      <c r="A35" s="161"/>
      <c r="B35" s="162"/>
      <c r="C35" s="150"/>
      <c r="D35" s="150"/>
      <c r="E35" s="150"/>
      <c r="F35" s="150"/>
      <c r="G35" s="150"/>
      <c r="H35" s="160"/>
    </row>
    <row r="36" spans="1:8" ht="15" customHeight="1" x14ac:dyDescent="0.35">
      <c r="A36" s="147" t="s">
        <v>23</v>
      </c>
      <c r="B36" s="148"/>
      <c r="C36" s="200" t="s">
        <v>79</v>
      </c>
      <c r="D36" s="200"/>
      <c r="E36" s="200"/>
      <c r="F36" s="200"/>
      <c r="G36" s="200"/>
      <c r="H36" s="201"/>
    </row>
    <row r="37" spans="1:8" ht="15" customHeight="1" x14ac:dyDescent="0.35">
      <c r="A37" s="147"/>
      <c r="B37" s="148"/>
      <c r="C37" s="200"/>
      <c r="D37" s="200"/>
      <c r="E37" s="200"/>
      <c r="F37" s="200"/>
      <c r="G37" s="200"/>
      <c r="H37" s="201"/>
    </row>
    <row r="38" spans="1:8" ht="15" customHeight="1" x14ac:dyDescent="0.35">
      <c r="A38" s="147" t="s">
        <v>24</v>
      </c>
      <c r="B38" s="148"/>
      <c r="C38" s="151" t="s">
        <v>52</v>
      </c>
      <c r="D38" s="190">
        <v>230</v>
      </c>
      <c r="E38" s="151" t="s">
        <v>53</v>
      </c>
      <c r="F38" s="190">
        <v>230</v>
      </c>
      <c r="G38" s="150" t="s">
        <v>86</v>
      </c>
      <c r="H38" s="160"/>
    </row>
    <row r="39" spans="1:8" ht="15" customHeight="1" x14ac:dyDescent="0.35">
      <c r="A39" s="147"/>
      <c r="B39" s="148"/>
      <c r="C39" s="151"/>
      <c r="D39" s="190"/>
      <c r="E39" s="151"/>
      <c r="F39" s="190"/>
      <c r="G39" s="150"/>
      <c r="H39" s="160"/>
    </row>
    <row r="40" spans="1:8" ht="15" customHeight="1" x14ac:dyDescent="0.35">
      <c r="A40" s="152"/>
      <c r="B40" s="153"/>
      <c r="C40" s="153"/>
      <c r="D40" s="153"/>
      <c r="E40" s="153"/>
      <c r="F40" s="153"/>
      <c r="G40" s="153"/>
      <c r="H40" s="154"/>
    </row>
    <row r="41" spans="1:8" ht="15" customHeight="1" x14ac:dyDescent="0.35">
      <c r="A41" s="147" t="s">
        <v>25</v>
      </c>
      <c r="B41" s="148"/>
      <c r="C41" s="185" t="s">
        <v>87</v>
      </c>
      <c r="D41" s="185"/>
      <c r="E41" s="185"/>
      <c r="F41" s="185"/>
      <c r="G41" s="7"/>
      <c r="H41" s="15"/>
    </row>
    <row r="42" spans="1:8" ht="15" customHeight="1" x14ac:dyDescent="0.35">
      <c r="A42" s="147"/>
      <c r="B42" s="148"/>
      <c r="C42" s="185"/>
      <c r="D42" s="185"/>
      <c r="E42" s="185"/>
      <c r="F42" s="185"/>
      <c r="G42" s="7"/>
      <c r="H42" s="15"/>
    </row>
    <row r="43" spans="1:8" ht="15" customHeight="1" x14ac:dyDescent="0.35">
      <c r="A43" s="147" t="s">
        <v>49</v>
      </c>
      <c r="B43" s="148"/>
      <c r="C43" s="185" t="s">
        <v>76</v>
      </c>
      <c r="D43" s="185"/>
      <c r="E43" s="185"/>
      <c r="F43" s="185"/>
      <c r="G43" s="7"/>
      <c r="H43" s="15"/>
    </row>
    <row r="44" spans="1:8" ht="15" customHeight="1" x14ac:dyDescent="0.35">
      <c r="A44" s="147"/>
      <c r="B44" s="148"/>
      <c r="C44" s="185"/>
      <c r="D44" s="185"/>
      <c r="E44" s="185"/>
      <c r="F44" s="185"/>
      <c r="G44" s="7"/>
      <c r="H44" s="15"/>
    </row>
    <row r="45" spans="1:8" ht="15" customHeight="1" x14ac:dyDescent="0.35">
      <c r="A45" s="147" t="s">
        <v>51</v>
      </c>
      <c r="B45" s="148"/>
      <c r="C45" s="185" t="s">
        <v>56</v>
      </c>
      <c r="D45" s="185"/>
      <c r="E45" s="185"/>
      <c r="F45" s="185"/>
      <c r="G45" s="7"/>
      <c r="H45" s="15"/>
    </row>
    <row r="46" spans="1:8" ht="15" customHeight="1" x14ac:dyDescent="0.35">
      <c r="A46" s="147"/>
      <c r="B46" s="148"/>
      <c r="C46" s="185"/>
      <c r="D46" s="185"/>
      <c r="E46" s="185"/>
      <c r="F46" s="185"/>
      <c r="G46" s="7"/>
      <c r="H46" s="15"/>
    </row>
    <row r="47" spans="1:8" x14ac:dyDescent="0.35">
      <c r="A47" s="20"/>
      <c r="B47" s="17"/>
      <c r="C47" s="17"/>
      <c r="D47" s="17"/>
      <c r="E47" s="17"/>
      <c r="F47" s="17"/>
      <c r="G47" s="17"/>
      <c r="H47" s="18"/>
    </row>
    <row r="48" spans="1:8" ht="13.5" customHeight="1" x14ac:dyDescent="0.35">
      <c r="A48" s="20"/>
      <c r="B48" s="17"/>
      <c r="C48" s="17"/>
      <c r="D48" s="17"/>
      <c r="E48" s="17"/>
      <c r="F48" s="17"/>
      <c r="G48" s="17"/>
      <c r="H48" s="18"/>
    </row>
    <row r="49" spans="1:8" ht="17.25" customHeight="1" x14ac:dyDescent="0.35">
      <c r="A49" s="20"/>
      <c r="B49" s="17"/>
      <c r="C49" s="17"/>
      <c r="D49" s="17"/>
      <c r="E49" s="17"/>
      <c r="F49" s="17"/>
      <c r="G49" s="17"/>
      <c r="H49" s="18"/>
    </row>
    <row r="50" spans="1:8" ht="15" customHeight="1" x14ac:dyDescent="0.35">
      <c r="A50" s="21"/>
      <c r="B50" s="22"/>
      <c r="C50" s="22"/>
      <c r="D50" s="22"/>
      <c r="E50" s="22"/>
      <c r="F50" s="22"/>
      <c r="G50" s="22"/>
      <c r="H50" s="23"/>
    </row>
  </sheetData>
  <sheetProtection selectLockedCells="1"/>
  <mergeCells count="82">
    <mergeCell ref="D14:E14"/>
    <mergeCell ref="G1:H1"/>
    <mergeCell ref="C1:F1"/>
    <mergeCell ref="A1:B1"/>
    <mergeCell ref="G38:H39"/>
    <mergeCell ref="A45:B46"/>
    <mergeCell ref="C45:F46"/>
    <mergeCell ref="C36:H37"/>
    <mergeCell ref="C32:H33"/>
    <mergeCell ref="H25:H26"/>
    <mergeCell ref="H29:H30"/>
    <mergeCell ref="C41:F42"/>
    <mergeCell ref="A43:B44"/>
    <mergeCell ref="C34:H35"/>
    <mergeCell ref="A34:B35"/>
    <mergeCell ref="C43:F44"/>
    <mergeCell ref="E38:E39"/>
    <mergeCell ref="G25:G26"/>
    <mergeCell ref="G29:G30"/>
    <mergeCell ref="F21:F22"/>
    <mergeCell ref="A41:B42"/>
    <mergeCell ref="C38:C39"/>
    <mergeCell ref="A38:B39"/>
    <mergeCell ref="A36:B37"/>
    <mergeCell ref="C29:C30"/>
    <mergeCell ref="A40:H40"/>
    <mergeCell ref="A32:B33"/>
    <mergeCell ref="A29:B30"/>
    <mergeCell ref="G27:G28"/>
    <mergeCell ref="H27:H28"/>
    <mergeCell ref="G15:G16"/>
    <mergeCell ref="G17:G18"/>
    <mergeCell ref="G19:G20"/>
    <mergeCell ref="G21:G22"/>
    <mergeCell ref="G23:G24"/>
    <mergeCell ref="H15:H16"/>
    <mergeCell ref="H23:H24"/>
    <mergeCell ref="H21:H22"/>
    <mergeCell ref="H17:H18"/>
    <mergeCell ref="H19:H20"/>
    <mergeCell ref="A11:B12"/>
    <mergeCell ref="C15:C16"/>
    <mergeCell ref="D17:E18"/>
    <mergeCell ref="F25:F26"/>
    <mergeCell ref="F29:F30"/>
    <mergeCell ref="D25:E26"/>
    <mergeCell ref="C23:C24"/>
    <mergeCell ref="C19:C20"/>
    <mergeCell ref="D19:E20"/>
    <mergeCell ref="A19:B20"/>
    <mergeCell ref="F15:F16"/>
    <mergeCell ref="F17:F18"/>
    <mergeCell ref="F19:F20"/>
    <mergeCell ref="D29:E30"/>
    <mergeCell ref="D23:E24"/>
    <mergeCell ref="F23:F24"/>
    <mergeCell ref="C17:C18"/>
    <mergeCell ref="D15:E16"/>
    <mergeCell ref="A15:B16"/>
    <mergeCell ref="C25:C26"/>
    <mergeCell ref="F38:F39"/>
    <mergeCell ref="D38:D39"/>
    <mergeCell ref="A27:B28"/>
    <mergeCell ref="C27:C28"/>
    <mergeCell ref="D27:E28"/>
    <mergeCell ref="F27:F28"/>
    <mergeCell ref="A2:H3"/>
    <mergeCell ref="A5:B6"/>
    <mergeCell ref="A25:B26"/>
    <mergeCell ref="D21:E22"/>
    <mergeCell ref="A23:B24"/>
    <mergeCell ref="C21:C22"/>
    <mergeCell ref="A21:B22"/>
    <mergeCell ref="A17:B18"/>
    <mergeCell ref="C5:F6"/>
    <mergeCell ref="G5:G6"/>
    <mergeCell ref="H5:H6"/>
    <mergeCell ref="C9:H10"/>
    <mergeCell ref="A7:B8"/>
    <mergeCell ref="C7:F8"/>
    <mergeCell ref="A9:B10"/>
    <mergeCell ref="C11:F12"/>
  </mergeCells>
  <phoneticPr fontId="0" type="noConversion"/>
  <printOptions horizontalCentered="1" verticalCentered="1"/>
  <pageMargins left="0" right="0" top="0" bottom="0" header="0" footer="0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35"/>
  </sheetPr>
  <dimension ref="A1:T33"/>
  <sheetViews>
    <sheetView tabSelected="1" view="pageBreakPreview" topLeftCell="B2" zoomScale="40" zoomScaleNormal="40" zoomScaleSheetLayoutView="40" workbookViewId="0">
      <selection activeCell="D32" sqref="D32:S32"/>
    </sheetView>
  </sheetViews>
  <sheetFormatPr defaultRowHeight="14.5" x14ac:dyDescent="0.35"/>
  <cols>
    <col min="1" max="1" width="14.26953125" customWidth="1"/>
    <col min="2" max="2" width="45.453125" customWidth="1"/>
    <col min="3" max="3" width="39.7265625" customWidth="1"/>
    <col min="4" max="4" width="15.7265625" customWidth="1"/>
    <col min="5" max="6" width="11.453125" customWidth="1"/>
    <col min="7" max="7" width="50" customWidth="1"/>
    <col min="8" max="8" width="15.7265625" customWidth="1"/>
    <col min="9" max="9" width="11.453125" customWidth="1"/>
    <col min="10" max="10" width="12.54296875" customWidth="1"/>
    <col min="11" max="11" width="37.36328125" customWidth="1"/>
    <col min="12" max="12" width="15.7265625" customWidth="1"/>
    <col min="13" max="13" width="12.81640625" customWidth="1"/>
    <col min="14" max="14" width="14.26953125" customWidth="1"/>
    <col min="15" max="15" width="39.1796875" customWidth="1"/>
    <col min="16" max="16" width="15.7265625" customWidth="1"/>
    <col min="17" max="17" width="10.453125" customWidth="1"/>
    <col min="18" max="18" width="11" customWidth="1"/>
    <col min="19" max="19" width="37.1796875" customWidth="1"/>
  </cols>
  <sheetData>
    <row r="1" spans="1:20" ht="128.5" customHeight="1" x14ac:dyDescent="0.75">
      <c r="A1" s="92"/>
      <c r="B1" s="93"/>
      <c r="C1" s="93"/>
      <c r="D1" s="93"/>
      <c r="E1" s="93"/>
      <c r="F1" s="93"/>
      <c r="G1" s="93"/>
      <c r="H1" s="94" t="s">
        <v>81</v>
      </c>
      <c r="I1" s="95"/>
      <c r="J1" s="95"/>
      <c r="K1" s="95"/>
      <c r="L1" s="95"/>
      <c r="M1" s="95"/>
      <c r="N1" s="95"/>
      <c r="O1" s="95"/>
      <c r="P1" s="95"/>
      <c r="Q1" s="95"/>
      <c r="R1" s="95"/>
      <c r="S1" s="96"/>
    </row>
    <row r="2" spans="1:20" ht="108" customHeight="1" x14ac:dyDescent="0.35">
      <c r="A2" s="97" t="s">
        <v>0</v>
      </c>
      <c r="B2" s="27" t="s">
        <v>1</v>
      </c>
      <c r="C2" s="28" t="str">
        <f>Tabelle!C36</f>
        <v>Natarx Indore(Comfort Track(T8) 
&amp; Dynamics Pad(T2)</v>
      </c>
      <c r="D2" s="87" t="s">
        <v>55</v>
      </c>
      <c r="E2" s="98"/>
      <c r="F2" s="99" t="s">
        <v>56</v>
      </c>
      <c r="G2" s="99"/>
      <c r="H2" s="81" t="s">
        <v>2</v>
      </c>
      <c r="I2" s="81"/>
      <c r="J2" s="88" t="str">
        <f>IF(Tabelle!C11="","",Tabelle!C11)</f>
        <v>215/60R16 95H</v>
      </c>
      <c r="K2" s="89"/>
      <c r="L2" s="81" t="s">
        <v>3</v>
      </c>
      <c r="M2" s="81"/>
      <c r="N2" s="29">
        <f>IF(Tabelle!D38="","",Tabelle!D38)</f>
        <v>230</v>
      </c>
      <c r="O2" s="30" t="s">
        <v>62</v>
      </c>
      <c r="P2" s="81" t="s">
        <v>4</v>
      </c>
      <c r="Q2" s="81"/>
      <c r="R2" s="108">
        <f>Tabelle!H5</f>
        <v>46185</v>
      </c>
      <c r="S2" s="109"/>
    </row>
    <row r="3" spans="1:20" ht="26" x14ac:dyDescent="0.6">
      <c r="A3" s="97"/>
      <c r="B3" s="77"/>
      <c r="C3" s="78"/>
      <c r="D3" s="87"/>
      <c r="E3" s="69"/>
      <c r="F3" s="69"/>
      <c r="G3" s="70"/>
      <c r="H3" s="81" t="s">
        <v>5</v>
      </c>
      <c r="I3" s="81"/>
      <c r="J3" s="85" t="str">
        <f>IF(Tabelle!C41="","",Tabelle!C41)</f>
        <v>6.5 J x 16(Steel Rims)</v>
      </c>
      <c r="K3" s="86"/>
      <c r="L3" s="90" t="s">
        <v>60</v>
      </c>
      <c r="M3" s="91"/>
      <c r="N3" s="29">
        <f>IF(Tabelle!F38="","",Tabelle!F38)</f>
        <v>230</v>
      </c>
      <c r="O3" s="30" t="s">
        <v>62</v>
      </c>
      <c r="P3" s="81" t="s">
        <v>6</v>
      </c>
      <c r="Q3" s="81"/>
      <c r="R3" s="99" t="s">
        <v>65</v>
      </c>
      <c r="S3" s="111"/>
    </row>
    <row r="4" spans="1:20" ht="26" x14ac:dyDescent="0.35">
      <c r="A4" s="97"/>
      <c r="B4" s="79"/>
      <c r="C4" s="80"/>
      <c r="D4" s="84" t="s">
        <v>7</v>
      </c>
      <c r="E4" s="84"/>
      <c r="F4" s="84"/>
      <c r="G4" s="84"/>
      <c r="H4" s="84" t="s">
        <v>8</v>
      </c>
      <c r="I4" s="84"/>
      <c r="J4" s="84"/>
      <c r="K4" s="84"/>
      <c r="L4" s="84" t="s">
        <v>9</v>
      </c>
      <c r="M4" s="84"/>
      <c r="N4" s="84"/>
      <c r="O4" s="84"/>
      <c r="P4" s="84" t="s">
        <v>10</v>
      </c>
      <c r="Q4" s="84"/>
      <c r="R4" s="84"/>
      <c r="S4" s="110"/>
    </row>
    <row r="5" spans="1:20" ht="26" x14ac:dyDescent="0.35">
      <c r="A5" s="97"/>
      <c r="B5" s="31" t="s">
        <v>11</v>
      </c>
      <c r="C5" s="32" t="str">
        <f>IF(Tabelle!C5="","",Tabelle!C5)</f>
        <v>NA</v>
      </c>
      <c r="D5" s="100" t="str">
        <f>IF(Tabelle!D15="","",Tabelle!D15)</f>
        <v>MRF</v>
      </c>
      <c r="E5" s="101"/>
      <c r="F5" s="101"/>
      <c r="G5" s="102"/>
      <c r="H5" s="82" t="str">
        <f>IF(Tabelle!D17="","",Tabelle!D17)</f>
        <v>JK Tyre</v>
      </c>
      <c r="I5" s="82"/>
      <c r="J5" s="82"/>
      <c r="K5" s="82"/>
      <c r="L5" s="82" t="str">
        <f>IF(Tabelle!D19="","",Tabelle!D19)</f>
        <v>JK Tyre</v>
      </c>
      <c r="M5" s="82"/>
      <c r="N5" s="82"/>
      <c r="O5" s="82"/>
      <c r="P5" s="82" t="str">
        <f>Tabelle!D21</f>
        <v>JK Tyre</v>
      </c>
      <c r="Q5" s="82"/>
      <c r="R5" s="82"/>
      <c r="S5" s="112"/>
    </row>
    <row r="6" spans="1:20" ht="26" x14ac:dyDescent="0.6">
      <c r="A6" s="97"/>
      <c r="B6" s="113" t="s">
        <v>12</v>
      </c>
      <c r="C6" s="114"/>
      <c r="D6" s="105" t="str">
        <f>IF(Tabelle!C15="","",Tabelle!C15)</f>
        <v>Ref</v>
      </c>
      <c r="E6" s="106"/>
      <c r="F6" s="106"/>
      <c r="G6" s="107"/>
      <c r="H6" s="83" t="str">
        <f>IF(Tabelle!C17="","",Tabelle!C17)</f>
        <v>3B-RB</v>
      </c>
      <c r="I6" s="83"/>
      <c r="J6" s="83"/>
      <c r="K6" s="83"/>
      <c r="L6" s="83" t="str">
        <f>IF(Tabelle!C19="","",Tabelle!C19)</f>
        <v>3B1</v>
      </c>
      <c r="M6" s="83"/>
      <c r="N6" s="83"/>
      <c r="O6" s="83"/>
      <c r="P6" s="83" t="str">
        <f>Tabelle!C21</f>
        <v>5F</v>
      </c>
      <c r="Q6" s="83"/>
      <c r="R6" s="83"/>
      <c r="S6" s="103"/>
    </row>
    <row r="7" spans="1:20" ht="26" x14ac:dyDescent="0.6">
      <c r="A7" s="97"/>
      <c r="B7" s="31" t="s">
        <v>13</v>
      </c>
      <c r="C7" s="33" t="s">
        <v>14</v>
      </c>
      <c r="D7" s="68" t="str">
        <f>Tabelle!G15</f>
        <v>--</v>
      </c>
      <c r="E7" s="69"/>
      <c r="F7" s="70"/>
      <c r="G7" s="34">
        <f>Tabelle!H15</f>
        <v>0</v>
      </c>
      <c r="H7" s="104" t="str">
        <f>Tabelle!G17</f>
        <v>--</v>
      </c>
      <c r="I7" s="82"/>
      <c r="J7" s="82"/>
      <c r="K7" s="34">
        <f>Tabelle!H17</f>
        <v>0</v>
      </c>
      <c r="L7" s="104">
        <f>Tabelle!G19</f>
        <v>0</v>
      </c>
      <c r="M7" s="82"/>
      <c r="N7" s="82"/>
      <c r="O7" s="34">
        <f>Tabelle!H19</f>
        <v>0</v>
      </c>
      <c r="P7" s="104">
        <f>Tabelle!G21</f>
        <v>0</v>
      </c>
      <c r="Q7" s="82"/>
      <c r="R7" s="82"/>
      <c r="S7" s="48">
        <f>Tabelle!H21</f>
        <v>0</v>
      </c>
    </row>
    <row r="8" spans="1:20" ht="26" x14ac:dyDescent="0.35">
      <c r="A8" s="97"/>
      <c r="B8" s="113" t="s">
        <v>15</v>
      </c>
      <c r="C8" s="114"/>
      <c r="D8" s="100" t="str">
        <f>IF(Tabelle!F15="","",Tabelle!F15)</f>
        <v>Wanderer Eco Tred StreetN2</v>
      </c>
      <c r="E8" s="101"/>
      <c r="F8" s="101"/>
      <c r="G8" s="102"/>
      <c r="H8" s="82" t="str">
        <f>IF(Tabelle!F17="","",Tabelle!F17)</f>
        <v>UX Royale</v>
      </c>
      <c r="I8" s="82"/>
      <c r="J8" s="82"/>
      <c r="K8" s="82"/>
      <c r="L8" s="82" t="str">
        <f>IF(Tabelle!F19="","",Tabelle!F19)</f>
        <v>UX Royale</v>
      </c>
      <c r="M8" s="82"/>
      <c r="N8" s="82"/>
      <c r="O8" s="82"/>
      <c r="P8" s="82" t="str">
        <f>Tabelle!F21</f>
        <v>UX Royale</v>
      </c>
      <c r="Q8" s="82"/>
      <c r="R8" s="82"/>
      <c r="S8" s="112"/>
    </row>
    <row r="9" spans="1:20" ht="26" x14ac:dyDescent="0.6">
      <c r="A9" s="49"/>
      <c r="B9" s="35" t="s">
        <v>63</v>
      </c>
      <c r="C9" s="33" t="s">
        <v>64</v>
      </c>
      <c r="D9" s="125"/>
      <c r="E9" s="70"/>
      <c r="F9" s="75"/>
      <c r="G9" s="76"/>
      <c r="H9" s="125"/>
      <c r="I9" s="70"/>
      <c r="J9" s="75"/>
      <c r="K9" s="76"/>
      <c r="L9" s="125"/>
      <c r="M9" s="70"/>
      <c r="N9" s="75"/>
      <c r="O9" s="76"/>
      <c r="P9" s="125"/>
      <c r="Q9" s="70"/>
      <c r="R9" s="75"/>
      <c r="S9" s="126"/>
    </row>
    <row r="10" spans="1:20" ht="31" x14ac:dyDescent="0.35">
      <c r="A10" s="50"/>
      <c r="B10" s="118" t="s">
        <v>88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20"/>
      <c r="T10" s="19"/>
    </row>
    <row r="11" spans="1:20" ht="26.25" customHeight="1" x14ac:dyDescent="0.35">
      <c r="A11" s="115" t="s">
        <v>72</v>
      </c>
      <c r="B11" s="71" t="s">
        <v>70</v>
      </c>
      <c r="C11" s="71"/>
      <c r="D11" s="36"/>
      <c r="E11" s="37"/>
      <c r="F11" s="37"/>
      <c r="G11" s="37"/>
      <c r="H11" s="38"/>
      <c r="I11" s="37"/>
      <c r="J11" s="37"/>
      <c r="K11" s="37"/>
      <c r="L11" s="38"/>
      <c r="M11" s="39"/>
      <c r="N11" s="37"/>
      <c r="O11" s="37"/>
      <c r="P11" s="38"/>
      <c r="Q11" s="37"/>
      <c r="R11" s="37"/>
      <c r="S11" s="51"/>
      <c r="T11" s="19"/>
    </row>
    <row r="12" spans="1:20" ht="66.5" customHeight="1" x14ac:dyDescent="0.35">
      <c r="A12" s="116"/>
      <c r="B12" s="66" t="s">
        <v>89</v>
      </c>
      <c r="C12" s="67"/>
      <c r="D12" s="202">
        <v>6</v>
      </c>
      <c r="E12" s="203" t="s">
        <v>103</v>
      </c>
      <c r="F12" s="203" t="s">
        <v>103</v>
      </c>
      <c r="G12" s="203" t="s">
        <v>103</v>
      </c>
      <c r="H12" s="202">
        <v>6</v>
      </c>
      <c r="I12" s="203" t="s">
        <v>129</v>
      </c>
      <c r="J12" s="203"/>
      <c r="K12" s="203"/>
      <c r="L12" s="204">
        <v>5.5</v>
      </c>
      <c r="M12" s="203" t="s">
        <v>138</v>
      </c>
      <c r="N12" s="203"/>
      <c r="O12" s="203"/>
      <c r="P12" s="204">
        <v>5</v>
      </c>
      <c r="Q12" s="203" t="s">
        <v>145</v>
      </c>
      <c r="R12" s="203"/>
      <c r="S12" s="205"/>
      <c r="T12" s="19"/>
    </row>
    <row r="13" spans="1:20" ht="65" customHeight="1" x14ac:dyDescent="0.35">
      <c r="A13" s="116"/>
      <c r="B13" s="66" t="s">
        <v>90</v>
      </c>
      <c r="C13" s="67" t="s">
        <v>90</v>
      </c>
      <c r="D13" s="202">
        <v>6</v>
      </c>
      <c r="E13" s="203" t="s">
        <v>104</v>
      </c>
      <c r="F13" s="203" t="s">
        <v>104</v>
      </c>
      <c r="G13" s="203" t="s">
        <v>104</v>
      </c>
      <c r="H13" s="202">
        <v>5.75</v>
      </c>
      <c r="I13" s="203" t="s">
        <v>131</v>
      </c>
      <c r="J13" s="203"/>
      <c r="K13" s="203"/>
      <c r="L13" s="204">
        <v>6</v>
      </c>
      <c r="M13" s="203" t="s">
        <v>139</v>
      </c>
      <c r="N13" s="203"/>
      <c r="O13" s="203"/>
      <c r="P13" s="204">
        <v>5.5</v>
      </c>
      <c r="Q13" s="206" t="s">
        <v>146</v>
      </c>
      <c r="R13" s="207"/>
      <c r="S13" s="208"/>
      <c r="T13" s="19"/>
    </row>
    <row r="14" spans="1:20" ht="82.5" customHeight="1" x14ac:dyDescent="0.35">
      <c r="A14" s="116"/>
      <c r="B14" s="66" t="s">
        <v>91</v>
      </c>
      <c r="C14" s="67" t="s">
        <v>91</v>
      </c>
      <c r="D14" s="202">
        <v>6</v>
      </c>
      <c r="E14" s="203" t="s">
        <v>118</v>
      </c>
      <c r="F14" s="203" t="s">
        <v>105</v>
      </c>
      <c r="G14" s="203" t="s">
        <v>105</v>
      </c>
      <c r="H14" s="202">
        <v>6.25</v>
      </c>
      <c r="I14" s="203" t="s">
        <v>130</v>
      </c>
      <c r="J14" s="203"/>
      <c r="K14" s="203"/>
      <c r="L14" s="204">
        <v>6</v>
      </c>
      <c r="M14" s="206" t="s">
        <v>140</v>
      </c>
      <c r="N14" s="207"/>
      <c r="O14" s="209"/>
      <c r="P14" s="204">
        <v>5</v>
      </c>
      <c r="Q14" s="203" t="s">
        <v>147</v>
      </c>
      <c r="R14" s="203"/>
      <c r="S14" s="205"/>
      <c r="T14" s="19"/>
    </row>
    <row r="15" spans="1:20" ht="74" customHeight="1" x14ac:dyDescent="0.35">
      <c r="A15" s="116"/>
      <c r="B15" s="66" t="s">
        <v>92</v>
      </c>
      <c r="C15" s="67" t="s">
        <v>92</v>
      </c>
      <c r="D15" s="202">
        <v>6</v>
      </c>
      <c r="E15" s="203" t="s">
        <v>119</v>
      </c>
      <c r="F15" s="203" t="s">
        <v>106</v>
      </c>
      <c r="G15" s="203" t="s">
        <v>106</v>
      </c>
      <c r="H15" s="202">
        <v>6.25</v>
      </c>
      <c r="I15" s="203" t="s">
        <v>132</v>
      </c>
      <c r="J15" s="203"/>
      <c r="K15" s="203"/>
      <c r="L15" s="202">
        <v>5.75</v>
      </c>
      <c r="M15" s="203" t="s">
        <v>141</v>
      </c>
      <c r="N15" s="203"/>
      <c r="O15" s="203"/>
      <c r="P15" s="202">
        <v>5</v>
      </c>
      <c r="Q15" s="203" t="s">
        <v>148</v>
      </c>
      <c r="R15" s="203"/>
      <c r="S15" s="205"/>
      <c r="T15" s="19"/>
    </row>
    <row r="16" spans="1:20" ht="65.25" customHeight="1" x14ac:dyDescent="0.35">
      <c r="A16" s="116"/>
      <c r="B16" s="66" t="s">
        <v>93</v>
      </c>
      <c r="C16" s="67" t="s">
        <v>93</v>
      </c>
      <c r="D16" s="202">
        <v>6</v>
      </c>
      <c r="E16" s="203" t="s">
        <v>120</v>
      </c>
      <c r="F16" s="203" t="s">
        <v>107</v>
      </c>
      <c r="G16" s="203" t="s">
        <v>107</v>
      </c>
      <c r="H16" s="202">
        <v>6</v>
      </c>
      <c r="I16" s="203" t="s">
        <v>80</v>
      </c>
      <c r="J16" s="203"/>
      <c r="K16" s="203"/>
      <c r="L16" s="202">
        <v>6</v>
      </c>
      <c r="M16" s="203" t="s">
        <v>142</v>
      </c>
      <c r="N16" s="203"/>
      <c r="O16" s="203"/>
      <c r="P16" s="202">
        <v>5.5</v>
      </c>
      <c r="Q16" s="203" t="s">
        <v>143</v>
      </c>
      <c r="R16" s="203"/>
      <c r="S16" s="205"/>
      <c r="T16" s="19"/>
    </row>
    <row r="17" spans="1:20" ht="26" x14ac:dyDescent="0.35">
      <c r="A17" s="117"/>
      <c r="B17" s="63" t="s">
        <v>66</v>
      </c>
      <c r="C17" s="64"/>
      <c r="D17" s="41">
        <f>AVERAGE(D12:D16)</f>
        <v>6</v>
      </c>
      <c r="E17" s="121"/>
      <c r="F17" s="122"/>
      <c r="G17" s="123"/>
      <c r="H17" s="41">
        <f>AVERAGE(H12:H16)</f>
        <v>6.05</v>
      </c>
      <c r="I17" s="121"/>
      <c r="J17" s="122"/>
      <c r="K17" s="123"/>
      <c r="L17" s="41">
        <f>AVERAGE(L12:L16)</f>
        <v>5.85</v>
      </c>
      <c r="M17" s="121"/>
      <c r="N17" s="122"/>
      <c r="O17" s="123"/>
      <c r="P17" s="41">
        <f>AVERAGE(P12:P16)</f>
        <v>5.2</v>
      </c>
      <c r="Q17" s="121"/>
      <c r="R17" s="122"/>
      <c r="S17" s="124"/>
      <c r="T17" s="19"/>
    </row>
    <row r="18" spans="1:20" ht="26.25" customHeight="1" x14ac:dyDescent="0.35">
      <c r="A18" s="115" t="s">
        <v>16</v>
      </c>
      <c r="B18" s="73" t="s">
        <v>69</v>
      </c>
      <c r="C18" s="74"/>
      <c r="D18" s="42"/>
      <c r="E18" s="43"/>
      <c r="F18" s="43"/>
      <c r="G18" s="43"/>
      <c r="H18" s="42"/>
      <c r="I18" s="43"/>
      <c r="J18" s="43"/>
      <c r="K18" s="43"/>
      <c r="L18" s="42"/>
      <c r="M18" s="44"/>
      <c r="N18" s="43"/>
      <c r="O18" s="43"/>
      <c r="P18" s="42"/>
      <c r="Q18" s="43"/>
      <c r="R18" s="43"/>
      <c r="S18" s="52"/>
      <c r="T18" s="19"/>
    </row>
    <row r="19" spans="1:20" ht="50.25" customHeight="1" x14ac:dyDescent="0.35">
      <c r="A19" s="116"/>
      <c r="B19" s="66" t="s">
        <v>98</v>
      </c>
      <c r="C19" s="67" t="s">
        <v>98</v>
      </c>
      <c r="D19" s="202">
        <v>6</v>
      </c>
      <c r="E19" s="203" t="s">
        <v>80</v>
      </c>
      <c r="F19" s="203"/>
      <c r="G19" s="203"/>
      <c r="H19" s="202">
        <v>5.5</v>
      </c>
      <c r="I19" s="203" t="s">
        <v>143</v>
      </c>
      <c r="J19" s="203"/>
      <c r="K19" s="203"/>
      <c r="L19" s="202">
        <v>6</v>
      </c>
      <c r="M19" s="210" t="s">
        <v>80</v>
      </c>
      <c r="N19" s="211"/>
      <c r="O19" s="212"/>
      <c r="P19" s="202">
        <v>6</v>
      </c>
      <c r="Q19" s="210"/>
      <c r="R19" s="211"/>
      <c r="S19" s="213"/>
      <c r="T19" s="19"/>
    </row>
    <row r="20" spans="1:20" ht="71.25" customHeight="1" x14ac:dyDescent="0.35">
      <c r="A20" s="116"/>
      <c r="B20" s="66" t="s">
        <v>99</v>
      </c>
      <c r="C20" s="67" t="s">
        <v>99</v>
      </c>
      <c r="D20" s="202">
        <v>6</v>
      </c>
      <c r="E20" s="203" t="s">
        <v>121</v>
      </c>
      <c r="F20" s="203" t="s">
        <v>108</v>
      </c>
      <c r="G20" s="203" t="s">
        <v>108</v>
      </c>
      <c r="H20" s="202">
        <v>5</v>
      </c>
      <c r="I20" s="203" t="s">
        <v>144</v>
      </c>
      <c r="J20" s="203"/>
      <c r="K20" s="203"/>
      <c r="L20" s="202">
        <v>6</v>
      </c>
      <c r="M20" s="214" t="s">
        <v>80</v>
      </c>
      <c r="N20" s="214"/>
      <c r="O20" s="214"/>
      <c r="P20" s="202">
        <v>5.75</v>
      </c>
      <c r="Q20" s="214" t="s">
        <v>149</v>
      </c>
      <c r="R20" s="214"/>
      <c r="S20" s="215"/>
      <c r="T20" s="19"/>
    </row>
    <row r="21" spans="1:20" ht="76.5" customHeight="1" x14ac:dyDescent="0.35">
      <c r="A21" s="116"/>
      <c r="B21" s="66" t="s">
        <v>100</v>
      </c>
      <c r="C21" s="67" t="s">
        <v>100</v>
      </c>
      <c r="D21" s="202">
        <v>6</v>
      </c>
      <c r="E21" s="203" t="s">
        <v>122</v>
      </c>
      <c r="F21" s="203" t="s">
        <v>109</v>
      </c>
      <c r="G21" s="203" t="s">
        <v>109</v>
      </c>
      <c r="H21" s="202">
        <v>6</v>
      </c>
      <c r="I21" s="203"/>
      <c r="J21" s="203"/>
      <c r="K21" s="203"/>
      <c r="L21" s="204">
        <v>6</v>
      </c>
      <c r="M21" s="214"/>
      <c r="N21" s="214"/>
      <c r="O21" s="214"/>
      <c r="P21" s="204">
        <v>5.5</v>
      </c>
      <c r="Q21" s="214" t="s">
        <v>150</v>
      </c>
      <c r="R21" s="214"/>
      <c r="S21" s="215"/>
      <c r="T21" s="19"/>
    </row>
    <row r="22" spans="1:20" ht="50.25" customHeight="1" x14ac:dyDescent="0.35">
      <c r="A22" s="116"/>
      <c r="B22" s="66" t="s">
        <v>101</v>
      </c>
      <c r="C22" s="67" t="s">
        <v>101</v>
      </c>
      <c r="D22" s="202">
        <v>6</v>
      </c>
      <c r="E22" s="203" t="s">
        <v>126</v>
      </c>
      <c r="F22" s="203" t="s">
        <v>110</v>
      </c>
      <c r="G22" s="203" t="s">
        <v>110</v>
      </c>
      <c r="H22" s="202">
        <v>6</v>
      </c>
      <c r="I22" s="203"/>
      <c r="J22" s="203"/>
      <c r="K22" s="203"/>
      <c r="L22" s="202">
        <v>6</v>
      </c>
      <c r="M22" s="210" t="s">
        <v>158</v>
      </c>
      <c r="N22" s="211"/>
      <c r="O22" s="212"/>
      <c r="P22" s="202">
        <v>5.5</v>
      </c>
      <c r="Q22" s="210" t="s">
        <v>151</v>
      </c>
      <c r="R22" s="211"/>
      <c r="S22" s="213"/>
      <c r="T22" s="19"/>
    </row>
    <row r="23" spans="1:20" ht="50.25" customHeight="1" x14ac:dyDescent="0.35">
      <c r="A23" s="116"/>
      <c r="B23" s="66" t="s">
        <v>102</v>
      </c>
      <c r="C23" s="67" t="s">
        <v>102</v>
      </c>
      <c r="D23" s="202">
        <v>6</v>
      </c>
      <c r="E23" s="203" t="s">
        <v>123</v>
      </c>
      <c r="F23" s="203" t="s">
        <v>80</v>
      </c>
      <c r="G23" s="203" t="s">
        <v>80</v>
      </c>
      <c r="H23" s="202">
        <v>6</v>
      </c>
      <c r="I23" s="203" t="s">
        <v>80</v>
      </c>
      <c r="J23" s="203"/>
      <c r="K23" s="203"/>
      <c r="L23" s="202">
        <v>6</v>
      </c>
      <c r="M23" s="216" t="s">
        <v>159</v>
      </c>
      <c r="N23" s="216"/>
      <c r="O23" s="216"/>
      <c r="P23" s="202">
        <v>5.75</v>
      </c>
      <c r="Q23" s="216" t="s">
        <v>152</v>
      </c>
      <c r="R23" s="216"/>
      <c r="S23" s="217"/>
      <c r="T23" s="19"/>
    </row>
    <row r="24" spans="1:20" ht="26" x14ac:dyDescent="0.35">
      <c r="A24" s="117"/>
      <c r="B24" s="63" t="s">
        <v>66</v>
      </c>
      <c r="C24" s="64"/>
      <c r="D24" s="41">
        <f>AVERAGE(D19:D23)</f>
        <v>6</v>
      </c>
      <c r="E24" s="121"/>
      <c r="F24" s="122"/>
      <c r="G24" s="123"/>
      <c r="H24" s="41">
        <f>AVERAGE(H19:H23)</f>
        <v>5.7</v>
      </c>
      <c r="I24" s="121"/>
      <c r="J24" s="122"/>
      <c r="K24" s="123"/>
      <c r="L24" s="41">
        <f>AVERAGE(L19:L23)</f>
        <v>6</v>
      </c>
      <c r="M24" s="121"/>
      <c r="N24" s="122"/>
      <c r="O24" s="123"/>
      <c r="P24" s="41">
        <f>AVERAGE(P19:P23)</f>
        <v>5.7</v>
      </c>
      <c r="Q24" s="121"/>
      <c r="R24" s="122"/>
      <c r="S24" s="124"/>
      <c r="T24" s="19"/>
    </row>
    <row r="25" spans="1:20" ht="26.25" customHeight="1" x14ac:dyDescent="0.35">
      <c r="A25" s="115" t="s">
        <v>68</v>
      </c>
      <c r="B25" s="73" t="s">
        <v>73</v>
      </c>
      <c r="C25" s="74"/>
      <c r="D25" s="42"/>
      <c r="E25" s="43"/>
      <c r="F25" s="43"/>
      <c r="G25" s="43"/>
      <c r="H25" s="42"/>
      <c r="I25" s="43"/>
      <c r="J25" s="43"/>
      <c r="K25" s="43"/>
      <c r="L25" s="42"/>
      <c r="M25" s="44"/>
      <c r="N25" s="43"/>
      <c r="O25" s="43"/>
      <c r="P25" s="42"/>
      <c r="Q25" s="43"/>
      <c r="R25" s="43"/>
      <c r="S25" s="52"/>
      <c r="T25" s="19"/>
    </row>
    <row r="26" spans="1:20" ht="64.5" customHeight="1" x14ac:dyDescent="0.35">
      <c r="A26" s="116"/>
      <c r="B26" s="66" t="s">
        <v>94</v>
      </c>
      <c r="C26" s="67" t="s">
        <v>94</v>
      </c>
      <c r="D26" s="202">
        <v>6</v>
      </c>
      <c r="E26" s="203" t="s">
        <v>124</v>
      </c>
      <c r="F26" s="203" t="s">
        <v>111</v>
      </c>
      <c r="G26" s="203" t="s">
        <v>111</v>
      </c>
      <c r="H26" s="202">
        <v>5.5</v>
      </c>
      <c r="I26" s="203" t="s">
        <v>163</v>
      </c>
      <c r="J26" s="203"/>
      <c r="K26" s="203"/>
      <c r="L26" s="202">
        <v>5.75</v>
      </c>
      <c r="M26" s="214" t="s">
        <v>160</v>
      </c>
      <c r="N26" s="214"/>
      <c r="O26" s="214"/>
      <c r="P26" s="202">
        <v>5</v>
      </c>
      <c r="Q26" s="214" t="s">
        <v>153</v>
      </c>
      <c r="R26" s="214"/>
      <c r="S26" s="215"/>
      <c r="T26" s="19"/>
    </row>
    <row r="27" spans="1:20" ht="49.5" customHeight="1" x14ac:dyDescent="0.35">
      <c r="A27" s="116"/>
      <c r="B27" s="66" t="s">
        <v>95</v>
      </c>
      <c r="C27" s="67" t="s">
        <v>95</v>
      </c>
      <c r="D27" s="202">
        <v>6</v>
      </c>
      <c r="E27" s="203" t="s">
        <v>125</v>
      </c>
      <c r="F27" s="203" t="s">
        <v>112</v>
      </c>
      <c r="G27" s="203" t="s">
        <v>112</v>
      </c>
      <c r="H27" s="202">
        <v>5.5</v>
      </c>
      <c r="I27" s="203" t="s">
        <v>112</v>
      </c>
      <c r="J27" s="203"/>
      <c r="K27" s="203"/>
      <c r="L27" s="202">
        <v>6</v>
      </c>
      <c r="M27" s="214"/>
      <c r="N27" s="214"/>
      <c r="O27" s="214"/>
      <c r="P27" s="202">
        <v>5</v>
      </c>
      <c r="Q27" s="214" t="s">
        <v>154</v>
      </c>
      <c r="R27" s="214"/>
      <c r="S27" s="215"/>
      <c r="T27" s="19"/>
    </row>
    <row r="28" spans="1:20" ht="57.5" customHeight="1" x14ac:dyDescent="0.35">
      <c r="A28" s="116"/>
      <c r="B28" s="66" t="s">
        <v>96</v>
      </c>
      <c r="C28" s="67" t="s">
        <v>96</v>
      </c>
      <c r="D28" s="202">
        <v>6</v>
      </c>
      <c r="E28" s="203" t="s">
        <v>127</v>
      </c>
      <c r="F28" s="203" t="s">
        <v>113</v>
      </c>
      <c r="G28" s="203" t="s">
        <v>113</v>
      </c>
      <c r="H28" s="202">
        <v>5.5</v>
      </c>
      <c r="I28" s="203"/>
      <c r="J28" s="203"/>
      <c r="K28" s="203"/>
      <c r="L28" s="202">
        <v>6</v>
      </c>
      <c r="M28" s="214"/>
      <c r="N28" s="214"/>
      <c r="O28" s="214"/>
      <c r="P28" s="202">
        <v>5.5</v>
      </c>
      <c r="Q28" s="214" t="s">
        <v>155</v>
      </c>
      <c r="R28" s="214"/>
      <c r="S28" s="215"/>
      <c r="T28" s="19"/>
    </row>
    <row r="29" spans="1:20" ht="49.5" customHeight="1" x14ac:dyDescent="0.35">
      <c r="A29" s="116"/>
      <c r="B29" s="66" t="s">
        <v>97</v>
      </c>
      <c r="C29" s="67" t="s">
        <v>97</v>
      </c>
      <c r="D29" s="202">
        <v>6</v>
      </c>
      <c r="E29" s="203" t="s">
        <v>128</v>
      </c>
      <c r="F29" s="203" t="s">
        <v>114</v>
      </c>
      <c r="G29" s="203" t="s">
        <v>114</v>
      </c>
      <c r="H29" s="202">
        <v>5.5</v>
      </c>
      <c r="I29" s="203" t="s">
        <v>164</v>
      </c>
      <c r="J29" s="203"/>
      <c r="K29" s="203"/>
      <c r="L29" s="202">
        <v>5.75</v>
      </c>
      <c r="M29" s="214" t="s">
        <v>161</v>
      </c>
      <c r="N29" s="214"/>
      <c r="O29" s="214"/>
      <c r="P29" s="202">
        <v>5</v>
      </c>
      <c r="Q29" s="214" t="s">
        <v>156</v>
      </c>
      <c r="R29" s="214"/>
      <c r="S29" s="215"/>
      <c r="T29" s="19"/>
    </row>
    <row r="30" spans="1:20" ht="26" x14ac:dyDescent="0.35">
      <c r="A30" s="117"/>
      <c r="B30" s="63" t="s">
        <v>66</v>
      </c>
      <c r="C30" s="64"/>
      <c r="D30" s="46">
        <f>AVERAGE(D26:D29)</f>
        <v>6</v>
      </c>
      <c r="E30" s="63"/>
      <c r="F30" s="65"/>
      <c r="G30" s="64"/>
      <c r="H30" s="46">
        <f>AVERAGE(H26:H29)</f>
        <v>5.5</v>
      </c>
      <c r="I30" s="63"/>
      <c r="J30" s="65"/>
      <c r="K30" s="64"/>
      <c r="L30" s="46">
        <f>AVERAGE(L26:L29)</f>
        <v>5.875</v>
      </c>
      <c r="M30" s="63"/>
      <c r="N30" s="65"/>
      <c r="O30" s="64"/>
      <c r="P30" s="46">
        <f>AVERAGE(P26:P29)</f>
        <v>5.125</v>
      </c>
      <c r="Q30" s="63"/>
      <c r="R30" s="65"/>
      <c r="S30" s="140"/>
      <c r="T30" s="19"/>
    </row>
    <row r="31" spans="1:20" ht="21" customHeight="1" x14ac:dyDescent="0.35">
      <c r="A31" s="53"/>
      <c r="B31" s="59" t="s">
        <v>17</v>
      </c>
      <c r="C31" s="60"/>
      <c r="D31" s="47">
        <f>AVERAGE(D24,D17,D30)</f>
        <v>6</v>
      </c>
      <c r="E31" s="59"/>
      <c r="F31" s="61"/>
      <c r="G31" s="60"/>
      <c r="H31" s="47">
        <f>AVERAGE(H24,H17,H30)</f>
        <v>5.75</v>
      </c>
      <c r="I31" s="59"/>
      <c r="J31" s="61"/>
      <c r="K31" s="60"/>
      <c r="L31" s="47">
        <f>AVERAGE(L24,L17,L30)</f>
        <v>5.9083333333333341</v>
      </c>
      <c r="M31" s="59"/>
      <c r="N31" s="61"/>
      <c r="O31" s="60"/>
      <c r="P31" s="47">
        <f>AVERAGE(P24,P17,P30)</f>
        <v>5.3416666666666659</v>
      </c>
      <c r="Q31" s="59"/>
      <c r="R31" s="61"/>
      <c r="S31" s="62"/>
      <c r="T31" s="19"/>
    </row>
    <row r="32" spans="1:20" ht="153" customHeight="1" thickBot="1" x14ac:dyDescent="0.4">
      <c r="A32" s="54" t="s">
        <v>67</v>
      </c>
      <c r="B32" s="55"/>
      <c r="C32" s="55"/>
      <c r="D32" s="218" t="s">
        <v>196</v>
      </c>
      <c r="E32" s="219"/>
      <c r="F32" s="219"/>
      <c r="G32" s="220"/>
      <c r="H32" s="218" t="s">
        <v>133</v>
      </c>
      <c r="I32" s="219"/>
      <c r="J32" s="219"/>
      <c r="K32" s="220"/>
      <c r="L32" s="218" t="s">
        <v>162</v>
      </c>
      <c r="M32" s="219"/>
      <c r="N32" s="219"/>
      <c r="O32" s="220"/>
      <c r="P32" s="218" t="s">
        <v>157</v>
      </c>
      <c r="Q32" s="219"/>
      <c r="R32" s="219"/>
      <c r="S32" s="220"/>
      <c r="T32" s="19"/>
    </row>
    <row r="33" spans="4:4" x14ac:dyDescent="0.35">
      <c r="D33" s="16"/>
    </row>
  </sheetData>
  <mergeCells count="150">
    <mergeCell ref="I30:K30"/>
    <mergeCell ref="Q29:S29"/>
    <mergeCell ref="M30:O30"/>
    <mergeCell ref="Q30:S30"/>
    <mergeCell ref="A25:A30"/>
    <mergeCell ref="B25:C25"/>
    <mergeCell ref="B26:C26"/>
    <mergeCell ref="E26:G26"/>
    <mergeCell ref="I26:K26"/>
    <mergeCell ref="M26:O26"/>
    <mergeCell ref="Q26:S26"/>
    <mergeCell ref="B27:C27"/>
    <mergeCell ref="E27:G27"/>
    <mergeCell ref="I27:K27"/>
    <mergeCell ref="M27:O27"/>
    <mergeCell ref="Q27:S27"/>
    <mergeCell ref="B28:C28"/>
    <mergeCell ref="E28:G28"/>
    <mergeCell ref="I28:K28"/>
    <mergeCell ref="M28:O28"/>
    <mergeCell ref="Q28:S28"/>
    <mergeCell ref="B29:C29"/>
    <mergeCell ref="E29:G29"/>
    <mergeCell ref="I29:K29"/>
    <mergeCell ref="M23:O23"/>
    <mergeCell ref="Q19:S19"/>
    <mergeCell ref="Q20:S20"/>
    <mergeCell ref="Q21:S21"/>
    <mergeCell ref="Q22:S22"/>
    <mergeCell ref="Q23:S23"/>
    <mergeCell ref="I19:K19"/>
    <mergeCell ref="I20:K20"/>
    <mergeCell ref="I21:K21"/>
    <mergeCell ref="I22:K22"/>
    <mergeCell ref="I23:K23"/>
    <mergeCell ref="M19:O19"/>
    <mergeCell ref="M20:O20"/>
    <mergeCell ref="M21:O21"/>
    <mergeCell ref="M22:O22"/>
    <mergeCell ref="M29:O29"/>
    <mergeCell ref="M14:O14"/>
    <mergeCell ref="Q12:S12"/>
    <mergeCell ref="Q13:S13"/>
    <mergeCell ref="Q14:S14"/>
    <mergeCell ref="I16:K16"/>
    <mergeCell ref="M16:O16"/>
    <mergeCell ref="Q16:S16"/>
    <mergeCell ref="I15:K15"/>
    <mergeCell ref="M15:O15"/>
    <mergeCell ref="Q15:S15"/>
    <mergeCell ref="A11:A17"/>
    <mergeCell ref="A18:A24"/>
    <mergeCell ref="B6:C6"/>
    <mergeCell ref="B10:S10"/>
    <mergeCell ref="B17:C17"/>
    <mergeCell ref="E17:G17"/>
    <mergeCell ref="I17:K17"/>
    <mergeCell ref="M17:O17"/>
    <mergeCell ref="Q17:S17"/>
    <mergeCell ref="B24:C24"/>
    <mergeCell ref="E24:G24"/>
    <mergeCell ref="I24:K24"/>
    <mergeCell ref="M24:O24"/>
    <mergeCell ref="Q24:S24"/>
    <mergeCell ref="P9:Q9"/>
    <mergeCell ref="P8:S8"/>
    <mergeCell ref="D8:G8"/>
    <mergeCell ref="R9:S9"/>
    <mergeCell ref="D9:E9"/>
    <mergeCell ref="F9:G9"/>
    <mergeCell ref="H9:I9"/>
    <mergeCell ref="J9:K9"/>
    <mergeCell ref="L9:M9"/>
    <mergeCell ref="I14:K14"/>
    <mergeCell ref="A1:G1"/>
    <mergeCell ref="H1:S1"/>
    <mergeCell ref="A2:A8"/>
    <mergeCell ref="D2:E2"/>
    <mergeCell ref="F2:G2"/>
    <mergeCell ref="D5:G5"/>
    <mergeCell ref="H2:I2"/>
    <mergeCell ref="P6:S6"/>
    <mergeCell ref="P7:R7"/>
    <mergeCell ref="H4:K4"/>
    <mergeCell ref="H7:J7"/>
    <mergeCell ref="D6:G6"/>
    <mergeCell ref="R2:S2"/>
    <mergeCell ref="P4:S4"/>
    <mergeCell ref="L7:N7"/>
    <mergeCell ref="P3:Q3"/>
    <mergeCell ref="R3:S3"/>
    <mergeCell ref="L5:O5"/>
    <mergeCell ref="L6:O6"/>
    <mergeCell ref="L4:O4"/>
    <mergeCell ref="P5:S5"/>
    <mergeCell ref="P2:Q2"/>
    <mergeCell ref="B8:C8"/>
    <mergeCell ref="H8:K8"/>
    <mergeCell ref="N9:O9"/>
    <mergeCell ref="B3:C3"/>
    <mergeCell ref="B13:C13"/>
    <mergeCell ref="B4:C4"/>
    <mergeCell ref="I12:K12"/>
    <mergeCell ref="I13:K13"/>
    <mergeCell ref="L2:M2"/>
    <mergeCell ref="L8:O8"/>
    <mergeCell ref="H6:K6"/>
    <mergeCell ref="H3:I3"/>
    <mergeCell ref="D4:G4"/>
    <mergeCell ref="H5:K5"/>
    <mergeCell ref="J3:K3"/>
    <mergeCell ref="D3:G3"/>
    <mergeCell ref="J2:K2"/>
    <mergeCell ref="B12:C12"/>
    <mergeCell ref="L3:M3"/>
    <mergeCell ref="M12:O12"/>
    <mergeCell ref="M13:O13"/>
    <mergeCell ref="B30:C30"/>
    <mergeCell ref="E30:G30"/>
    <mergeCell ref="B14:C14"/>
    <mergeCell ref="D7:F7"/>
    <mergeCell ref="B11:C11"/>
    <mergeCell ref="E12:G12"/>
    <mergeCell ref="E13:G13"/>
    <mergeCell ref="E14:G14"/>
    <mergeCell ref="E19:G19"/>
    <mergeCell ref="E20:G20"/>
    <mergeCell ref="B16:C16"/>
    <mergeCell ref="E16:G16"/>
    <mergeCell ref="B15:C15"/>
    <mergeCell ref="E15:G15"/>
    <mergeCell ref="B22:C22"/>
    <mergeCell ref="B21:C21"/>
    <mergeCell ref="B23:C23"/>
    <mergeCell ref="B19:C19"/>
    <mergeCell ref="B20:C20"/>
    <mergeCell ref="B18:C18"/>
    <mergeCell ref="E21:G21"/>
    <mergeCell ref="E22:G22"/>
    <mergeCell ref="E23:G23"/>
    <mergeCell ref="A32:C32"/>
    <mergeCell ref="D32:G32"/>
    <mergeCell ref="H32:K32"/>
    <mergeCell ref="L32:O32"/>
    <mergeCell ref="P32:S32"/>
    <mergeCell ref="B31:C31"/>
    <mergeCell ref="E31:G31"/>
    <mergeCell ref="I31:K31"/>
    <mergeCell ref="M31:O31"/>
    <mergeCell ref="Q31:S31"/>
  </mergeCells>
  <phoneticPr fontId="0" type="noConversion"/>
  <printOptions horizontalCentered="1" verticalCentered="1"/>
  <pageMargins left="0" right="0" top="0" bottom="0" header="0" footer="0"/>
  <pageSetup paperSize="9" scale="3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C208-948D-4098-8D0A-4145E4D8093B}">
  <sheetPr>
    <tabColor indexed="35"/>
  </sheetPr>
  <dimension ref="A1:T33"/>
  <sheetViews>
    <sheetView view="pageBreakPreview" topLeftCell="A7" zoomScale="40" zoomScaleNormal="40" zoomScaleSheetLayoutView="40" workbookViewId="0">
      <selection activeCell="F2" sqref="F2:G2"/>
    </sheetView>
  </sheetViews>
  <sheetFormatPr defaultRowHeight="14.5" x14ac:dyDescent="0.35"/>
  <cols>
    <col min="1" max="1" width="14.26953125" customWidth="1"/>
    <col min="2" max="2" width="45.453125" customWidth="1"/>
    <col min="3" max="3" width="39.7265625" customWidth="1"/>
    <col min="4" max="4" width="15.7265625" customWidth="1"/>
    <col min="5" max="6" width="11.453125" customWidth="1"/>
    <col min="7" max="7" width="50" customWidth="1"/>
    <col min="8" max="8" width="15.7265625" customWidth="1"/>
    <col min="9" max="9" width="11.453125" customWidth="1"/>
    <col min="10" max="10" width="12.54296875" customWidth="1"/>
    <col min="11" max="11" width="37.36328125" customWidth="1"/>
    <col min="12" max="12" width="15.7265625" customWidth="1"/>
    <col min="13" max="13" width="12.81640625" customWidth="1"/>
    <col min="14" max="14" width="14.26953125" customWidth="1"/>
    <col min="15" max="15" width="39.1796875" customWidth="1"/>
    <col min="16" max="16" width="15.7265625" customWidth="1"/>
    <col min="17" max="17" width="10.453125" customWidth="1"/>
    <col min="18" max="18" width="11" customWidth="1"/>
    <col min="19" max="19" width="37.1796875" customWidth="1"/>
  </cols>
  <sheetData>
    <row r="1" spans="1:20" ht="128.5" customHeight="1" x14ac:dyDescent="0.75">
      <c r="A1" s="92"/>
      <c r="B1" s="93"/>
      <c r="C1" s="93"/>
      <c r="D1" s="93"/>
      <c r="E1" s="93"/>
      <c r="F1" s="93"/>
      <c r="G1" s="93"/>
      <c r="H1" s="94" t="s">
        <v>81</v>
      </c>
      <c r="I1" s="95"/>
      <c r="J1" s="95"/>
      <c r="K1" s="95"/>
      <c r="L1" s="95"/>
      <c r="M1" s="95"/>
      <c r="N1" s="95"/>
      <c r="O1" s="95"/>
      <c r="P1" s="95"/>
      <c r="Q1" s="95"/>
      <c r="R1" s="95"/>
      <c r="S1" s="96"/>
    </row>
    <row r="2" spans="1:20" ht="108" customHeight="1" x14ac:dyDescent="0.35">
      <c r="A2" s="97" t="s">
        <v>0</v>
      </c>
      <c r="B2" s="27" t="s">
        <v>1</v>
      </c>
      <c r="C2" s="28" t="str">
        <f>Tabelle!C36</f>
        <v>Natarx Indore(Comfort Track(T8) 
&amp; Dynamics Pad(T2)</v>
      </c>
      <c r="D2" s="87" t="s">
        <v>55</v>
      </c>
      <c r="E2" s="98"/>
      <c r="F2" s="99" t="s">
        <v>56</v>
      </c>
      <c r="G2" s="99"/>
      <c r="H2" s="81" t="s">
        <v>2</v>
      </c>
      <c r="I2" s="81"/>
      <c r="J2" s="88" t="str">
        <f>IF(Tabelle!C11="","",Tabelle!C11)</f>
        <v>215/60R16 95H</v>
      </c>
      <c r="K2" s="89"/>
      <c r="L2" s="81" t="s">
        <v>3</v>
      </c>
      <c r="M2" s="81"/>
      <c r="N2" s="29">
        <f>IF(Tabelle!D38="","",Tabelle!D38)</f>
        <v>230</v>
      </c>
      <c r="O2" s="30" t="s">
        <v>62</v>
      </c>
      <c r="P2" s="81" t="s">
        <v>4</v>
      </c>
      <c r="Q2" s="81"/>
      <c r="R2" s="108">
        <f>Tabelle!H5</f>
        <v>46185</v>
      </c>
      <c r="S2" s="109"/>
    </row>
    <row r="3" spans="1:20" ht="26" x14ac:dyDescent="0.6">
      <c r="A3" s="97"/>
      <c r="B3" s="77"/>
      <c r="C3" s="78"/>
      <c r="D3" s="87"/>
      <c r="E3" s="69"/>
      <c r="F3" s="69"/>
      <c r="G3" s="70"/>
      <c r="H3" s="81" t="s">
        <v>5</v>
      </c>
      <c r="I3" s="81"/>
      <c r="J3" s="85" t="str">
        <f>IF(Tabelle!C41="","",Tabelle!C41)</f>
        <v>6.5 J x 16(Steel Rims)</v>
      </c>
      <c r="K3" s="86"/>
      <c r="L3" s="90" t="s">
        <v>60</v>
      </c>
      <c r="M3" s="91"/>
      <c r="N3" s="29">
        <f>IF(Tabelle!F38="","",Tabelle!F38)</f>
        <v>230</v>
      </c>
      <c r="O3" s="30" t="s">
        <v>62</v>
      </c>
      <c r="P3" s="81" t="s">
        <v>6</v>
      </c>
      <c r="Q3" s="81"/>
      <c r="R3" s="99" t="s">
        <v>65</v>
      </c>
      <c r="S3" s="111"/>
    </row>
    <row r="4" spans="1:20" ht="26" x14ac:dyDescent="0.35">
      <c r="A4" s="97"/>
      <c r="B4" s="79"/>
      <c r="C4" s="80"/>
      <c r="D4" s="84" t="s">
        <v>7</v>
      </c>
      <c r="E4" s="84"/>
      <c r="F4" s="84"/>
      <c r="G4" s="84"/>
      <c r="H4" s="84" t="s">
        <v>8</v>
      </c>
      <c r="I4" s="84"/>
      <c r="J4" s="84"/>
      <c r="K4" s="84"/>
      <c r="L4" s="84" t="s">
        <v>9</v>
      </c>
      <c r="M4" s="84"/>
      <c r="N4" s="84"/>
      <c r="O4" s="84"/>
      <c r="P4" s="84" t="s">
        <v>10</v>
      </c>
      <c r="Q4" s="84"/>
      <c r="R4" s="84"/>
      <c r="S4" s="110"/>
    </row>
    <row r="5" spans="1:20" ht="26" x14ac:dyDescent="0.35">
      <c r="A5" s="97"/>
      <c r="B5" s="31" t="s">
        <v>11</v>
      </c>
      <c r="C5" s="32" t="str">
        <f>IF(Tabelle!C5="","",Tabelle!C5)</f>
        <v>NA</v>
      </c>
      <c r="D5" s="100" t="str">
        <f>IF(Tabelle!D23="","",Tabelle!D23)</f>
        <v>JK Tyre</v>
      </c>
      <c r="E5" s="101"/>
      <c r="F5" s="101"/>
      <c r="G5" s="102"/>
      <c r="H5" s="82" t="str">
        <f>IF(Tabelle!D17="","",Tabelle!D17)</f>
        <v>JK Tyre</v>
      </c>
      <c r="I5" s="82"/>
      <c r="J5" s="82"/>
      <c r="K5" s="82"/>
      <c r="L5" s="82" t="str">
        <f>IF(Tabelle!D19="","",Tabelle!D19)</f>
        <v>JK Tyre</v>
      </c>
      <c r="M5" s="82"/>
      <c r="N5" s="82"/>
      <c r="O5" s="82"/>
      <c r="P5" s="82" t="str">
        <f>Tabelle!D21</f>
        <v>JK Tyre</v>
      </c>
      <c r="Q5" s="82"/>
      <c r="R5" s="82"/>
      <c r="S5" s="112"/>
    </row>
    <row r="6" spans="1:20" ht="26" x14ac:dyDescent="0.6">
      <c r="A6" s="97"/>
      <c r="B6" s="113" t="s">
        <v>12</v>
      </c>
      <c r="C6" s="114"/>
      <c r="D6" s="105" t="str">
        <f>IF(Tabelle!C23="","",Tabelle!C23)</f>
        <v>3B3-CO</v>
      </c>
      <c r="E6" s="106"/>
      <c r="F6" s="106"/>
      <c r="G6" s="107"/>
      <c r="H6" s="83" t="str">
        <f>IF(Tabelle!C25="","",Tabelle!C25)</f>
        <v>5C</v>
      </c>
      <c r="I6" s="83"/>
      <c r="J6" s="83"/>
      <c r="K6" s="83"/>
      <c r="L6" s="83" t="str">
        <f>IF(Tabelle!C27="","",Tabelle!C27)</f>
        <v>5D</v>
      </c>
      <c r="M6" s="83"/>
      <c r="N6" s="83"/>
      <c r="O6" s="83"/>
      <c r="P6" s="83" t="str">
        <f>Tabelle!C29</f>
        <v>5G</v>
      </c>
      <c r="Q6" s="83"/>
      <c r="R6" s="83"/>
      <c r="S6" s="103"/>
    </row>
    <row r="7" spans="1:20" ht="26" x14ac:dyDescent="0.6">
      <c r="A7" s="97"/>
      <c r="B7" s="31" t="s">
        <v>13</v>
      </c>
      <c r="C7" s="33" t="s">
        <v>14</v>
      </c>
      <c r="D7" s="68" t="str">
        <f>Tabelle!G15</f>
        <v>--</v>
      </c>
      <c r="E7" s="69"/>
      <c r="F7" s="70"/>
      <c r="G7" s="34">
        <f>Tabelle!H23</f>
        <v>0</v>
      </c>
      <c r="H7" s="104" t="str">
        <f>Tabelle!G17</f>
        <v>--</v>
      </c>
      <c r="I7" s="82"/>
      <c r="J7" s="82"/>
      <c r="K7" s="34">
        <f>Tabelle!H25</f>
        <v>0</v>
      </c>
      <c r="L7" s="104">
        <f>Tabelle!G19</f>
        <v>0</v>
      </c>
      <c r="M7" s="82"/>
      <c r="N7" s="82"/>
      <c r="O7" s="34">
        <f>Tabelle!H27</f>
        <v>0</v>
      </c>
      <c r="P7" s="104">
        <f>Tabelle!G21</f>
        <v>0</v>
      </c>
      <c r="Q7" s="82"/>
      <c r="R7" s="82"/>
      <c r="S7" s="48">
        <f>Tabelle!H21</f>
        <v>0</v>
      </c>
    </row>
    <row r="8" spans="1:20" ht="26" x14ac:dyDescent="0.35">
      <c r="A8" s="97"/>
      <c r="B8" s="113" t="s">
        <v>15</v>
      </c>
      <c r="C8" s="114"/>
      <c r="D8" s="100" t="str">
        <f>IF(Tabelle!F23="","",Tabelle!F23)</f>
        <v>UX Royale</v>
      </c>
      <c r="E8" s="101"/>
      <c r="F8" s="101"/>
      <c r="G8" s="102"/>
      <c r="H8" s="82" t="str">
        <f>IF(Tabelle!F17="","",Tabelle!F17)</f>
        <v>UX Royale</v>
      </c>
      <c r="I8" s="82"/>
      <c r="J8" s="82"/>
      <c r="K8" s="82"/>
      <c r="L8" s="82" t="str">
        <f>IF(Tabelle!F19="","",Tabelle!F19)</f>
        <v>UX Royale</v>
      </c>
      <c r="M8" s="82"/>
      <c r="N8" s="82"/>
      <c r="O8" s="82"/>
      <c r="P8" s="82" t="str">
        <f>Tabelle!F21</f>
        <v>UX Royale</v>
      </c>
      <c r="Q8" s="82"/>
      <c r="R8" s="82"/>
      <c r="S8" s="112"/>
    </row>
    <row r="9" spans="1:20" ht="26" x14ac:dyDescent="0.6">
      <c r="A9" s="49"/>
      <c r="B9" s="35" t="s">
        <v>63</v>
      </c>
      <c r="C9" s="33" t="s">
        <v>64</v>
      </c>
      <c r="D9" s="125"/>
      <c r="E9" s="70"/>
      <c r="F9" s="75"/>
      <c r="G9" s="76"/>
      <c r="H9" s="125"/>
      <c r="I9" s="70"/>
      <c r="J9" s="75"/>
      <c r="K9" s="76"/>
      <c r="L9" s="125"/>
      <c r="M9" s="70"/>
      <c r="N9" s="75"/>
      <c r="O9" s="76"/>
      <c r="P9" s="125"/>
      <c r="Q9" s="70"/>
      <c r="R9" s="75"/>
      <c r="S9" s="126"/>
    </row>
    <row r="10" spans="1:20" ht="31" x14ac:dyDescent="0.35">
      <c r="A10" s="50"/>
      <c r="B10" s="118" t="s">
        <v>88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20"/>
      <c r="T10" s="19"/>
    </row>
    <row r="11" spans="1:20" ht="26.25" customHeight="1" x14ac:dyDescent="0.35">
      <c r="A11" s="115" t="s">
        <v>72</v>
      </c>
      <c r="B11" s="71" t="s">
        <v>70</v>
      </c>
      <c r="C11" s="71"/>
      <c r="D11" s="36"/>
      <c r="E11" s="37"/>
      <c r="F11" s="37"/>
      <c r="G11" s="37"/>
      <c r="H11" s="38"/>
      <c r="I11" s="37"/>
      <c r="J11" s="37"/>
      <c r="K11" s="37"/>
      <c r="L11" s="38"/>
      <c r="M11" s="39"/>
      <c r="N11" s="37"/>
      <c r="O11" s="37"/>
      <c r="P11" s="38"/>
      <c r="Q11" s="37"/>
      <c r="R11" s="37"/>
      <c r="S11" s="51"/>
      <c r="T11" s="19"/>
    </row>
    <row r="12" spans="1:20" ht="66.5" customHeight="1" x14ac:dyDescent="0.35">
      <c r="A12" s="116"/>
      <c r="B12" s="66" t="s">
        <v>89</v>
      </c>
      <c r="C12" s="67"/>
      <c r="D12" s="45">
        <v>5.5</v>
      </c>
      <c r="E12" s="72" t="s">
        <v>169</v>
      </c>
      <c r="F12" s="72"/>
      <c r="G12" s="72"/>
      <c r="H12" s="45">
        <v>5.75</v>
      </c>
      <c r="I12" s="72" t="s">
        <v>187</v>
      </c>
      <c r="J12" s="72"/>
      <c r="K12" s="72"/>
      <c r="L12" s="40">
        <v>6</v>
      </c>
      <c r="M12" s="72" t="s">
        <v>195</v>
      </c>
      <c r="N12" s="72"/>
      <c r="O12" s="72"/>
      <c r="P12" s="40">
        <v>5</v>
      </c>
      <c r="Q12" s="72" t="s">
        <v>182</v>
      </c>
      <c r="R12" s="72"/>
      <c r="S12" s="130"/>
      <c r="T12" s="19"/>
    </row>
    <row r="13" spans="1:20" ht="65" customHeight="1" x14ac:dyDescent="0.35">
      <c r="A13" s="116"/>
      <c r="B13" s="66" t="s">
        <v>90</v>
      </c>
      <c r="C13" s="67" t="s">
        <v>90</v>
      </c>
      <c r="D13" s="45">
        <v>6</v>
      </c>
      <c r="E13" s="72" t="s">
        <v>170</v>
      </c>
      <c r="F13" s="72"/>
      <c r="G13" s="72"/>
      <c r="H13" s="45">
        <v>6</v>
      </c>
      <c r="I13" s="72"/>
      <c r="J13" s="72"/>
      <c r="K13" s="72"/>
      <c r="L13" s="40">
        <v>5.5</v>
      </c>
      <c r="M13" s="72" t="s">
        <v>192</v>
      </c>
      <c r="N13" s="72"/>
      <c r="O13" s="72"/>
      <c r="P13" s="40"/>
      <c r="Q13" s="127"/>
      <c r="R13" s="128"/>
      <c r="S13" s="131"/>
      <c r="T13" s="19"/>
    </row>
    <row r="14" spans="1:20" ht="82.5" customHeight="1" x14ac:dyDescent="0.35">
      <c r="A14" s="116"/>
      <c r="B14" s="66" t="s">
        <v>91</v>
      </c>
      <c r="C14" s="67" t="s">
        <v>91</v>
      </c>
      <c r="D14" s="45">
        <v>5.5</v>
      </c>
      <c r="E14" s="72" t="s">
        <v>171</v>
      </c>
      <c r="F14" s="72"/>
      <c r="G14" s="72"/>
      <c r="H14" s="45">
        <v>5.75</v>
      </c>
      <c r="I14" s="72" t="s">
        <v>188</v>
      </c>
      <c r="J14" s="72"/>
      <c r="K14" s="72"/>
      <c r="L14" s="40">
        <v>6</v>
      </c>
      <c r="M14" s="127"/>
      <c r="N14" s="128"/>
      <c r="O14" s="129"/>
      <c r="P14" s="40"/>
      <c r="Q14" s="72"/>
      <c r="R14" s="72"/>
      <c r="S14" s="130"/>
      <c r="T14" s="19"/>
    </row>
    <row r="15" spans="1:20" ht="74" customHeight="1" x14ac:dyDescent="0.35">
      <c r="A15" s="116"/>
      <c r="B15" s="66" t="s">
        <v>92</v>
      </c>
      <c r="C15" s="67" t="s">
        <v>92</v>
      </c>
      <c r="D15" s="45">
        <v>5.75</v>
      </c>
      <c r="E15" s="72" t="s">
        <v>172</v>
      </c>
      <c r="F15" s="72"/>
      <c r="G15" s="72"/>
      <c r="H15" s="45">
        <v>6</v>
      </c>
      <c r="I15" s="72" t="s">
        <v>80</v>
      </c>
      <c r="J15" s="72"/>
      <c r="K15" s="72"/>
      <c r="L15" s="45">
        <v>6</v>
      </c>
      <c r="M15" s="72"/>
      <c r="N15" s="72"/>
      <c r="O15" s="72"/>
      <c r="P15" s="45"/>
      <c r="Q15" s="72"/>
      <c r="R15" s="72"/>
      <c r="S15" s="130"/>
      <c r="T15" s="19"/>
    </row>
    <row r="16" spans="1:20" ht="65.25" customHeight="1" x14ac:dyDescent="0.35">
      <c r="A16" s="116"/>
      <c r="B16" s="66" t="s">
        <v>93</v>
      </c>
      <c r="C16" s="67" t="s">
        <v>93</v>
      </c>
      <c r="D16" s="45">
        <v>6</v>
      </c>
      <c r="E16" s="72" t="s">
        <v>80</v>
      </c>
      <c r="F16" s="72"/>
      <c r="G16" s="72"/>
      <c r="H16" s="45">
        <v>6</v>
      </c>
      <c r="I16" s="72" t="s">
        <v>80</v>
      </c>
      <c r="J16" s="72"/>
      <c r="K16" s="72"/>
      <c r="L16" s="45">
        <v>5.75</v>
      </c>
      <c r="M16" s="72" t="s">
        <v>193</v>
      </c>
      <c r="N16" s="72"/>
      <c r="O16" s="72"/>
      <c r="P16" s="45"/>
      <c r="Q16" s="72"/>
      <c r="R16" s="72"/>
      <c r="S16" s="130"/>
      <c r="T16" s="19"/>
    </row>
    <row r="17" spans="1:20" ht="26" x14ac:dyDescent="0.35">
      <c r="A17" s="117"/>
      <c r="B17" s="63" t="s">
        <v>66</v>
      </c>
      <c r="C17" s="64"/>
      <c r="D17" s="41">
        <f>AVERAGE(D12:D16)</f>
        <v>5.75</v>
      </c>
      <c r="E17" s="121"/>
      <c r="F17" s="122"/>
      <c r="G17" s="123"/>
      <c r="H17" s="41">
        <f>AVERAGE(H12:H16)</f>
        <v>5.9</v>
      </c>
      <c r="I17" s="121"/>
      <c r="J17" s="122"/>
      <c r="K17" s="123"/>
      <c r="L17" s="41">
        <f>AVERAGE(L12:L16)</f>
        <v>5.85</v>
      </c>
      <c r="M17" s="121"/>
      <c r="N17" s="122"/>
      <c r="O17" s="123"/>
      <c r="P17" s="41">
        <f>AVERAGE(P12:P16)</f>
        <v>5</v>
      </c>
      <c r="Q17" s="121"/>
      <c r="R17" s="122"/>
      <c r="S17" s="124"/>
      <c r="T17" s="19"/>
    </row>
    <row r="18" spans="1:20" ht="26.25" customHeight="1" x14ac:dyDescent="0.35">
      <c r="A18" s="115" t="s">
        <v>16</v>
      </c>
      <c r="B18" s="73" t="s">
        <v>69</v>
      </c>
      <c r="C18" s="74"/>
      <c r="D18" s="42"/>
      <c r="E18" s="43"/>
      <c r="F18" s="43"/>
      <c r="G18" s="43"/>
      <c r="H18" s="42"/>
      <c r="I18" s="43"/>
      <c r="J18" s="43"/>
      <c r="K18" s="43"/>
      <c r="L18" s="42"/>
      <c r="M18" s="44"/>
      <c r="N18" s="43"/>
      <c r="O18" s="43"/>
      <c r="P18" s="42"/>
      <c r="Q18" s="43"/>
      <c r="R18" s="43"/>
      <c r="S18" s="52"/>
      <c r="T18" s="19"/>
    </row>
    <row r="19" spans="1:20" ht="50.25" customHeight="1" x14ac:dyDescent="0.35">
      <c r="A19" s="116"/>
      <c r="B19" s="66" t="s">
        <v>98</v>
      </c>
      <c r="C19" s="67" t="s">
        <v>98</v>
      </c>
      <c r="D19" s="45">
        <v>5.5</v>
      </c>
      <c r="E19" s="72" t="s">
        <v>173</v>
      </c>
      <c r="F19" s="72"/>
      <c r="G19" s="72"/>
      <c r="H19" s="45">
        <v>6</v>
      </c>
      <c r="I19" s="72"/>
      <c r="J19" s="72"/>
      <c r="K19" s="72"/>
      <c r="L19" s="45">
        <v>5.5</v>
      </c>
      <c r="M19" s="133"/>
      <c r="N19" s="134"/>
      <c r="O19" s="139"/>
      <c r="P19" s="45"/>
      <c r="Q19" s="133"/>
      <c r="R19" s="134"/>
      <c r="S19" s="135"/>
      <c r="T19" s="19"/>
    </row>
    <row r="20" spans="1:20" ht="71.25" customHeight="1" x14ac:dyDescent="0.35">
      <c r="A20" s="116"/>
      <c r="B20" s="66" t="s">
        <v>99</v>
      </c>
      <c r="C20" s="67" t="s">
        <v>99</v>
      </c>
      <c r="D20" s="45">
        <v>5.5</v>
      </c>
      <c r="E20" s="72" t="s">
        <v>174</v>
      </c>
      <c r="F20" s="72"/>
      <c r="G20" s="72"/>
      <c r="H20" s="45">
        <v>6</v>
      </c>
      <c r="I20" s="72"/>
      <c r="J20" s="72"/>
      <c r="K20" s="72"/>
      <c r="L20" s="45">
        <v>5.5</v>
      </c>
      <c r="M20" s="136"/>
      <c r="N20" s="136"/>
      <c r="O20" s="136"/>
      <c r="P20" s="45"/>
      <c r="Q20" s="136"/>
      <c r="R20" s="136"/>
      <c r="S20" s="137"/>
      <c r="T20" s="19"/>
    </row>
    <row r="21" spans="1:20" ht="76.5" customHeight="1" x14ac:dyDescent="0.35">
      <c r="A21" s="116"/>
      <c r="B21" s="66" t="s">
        <v>100</v>
      </c>
      <c r="C21" s="67" t="s">
        <v>100</v>
      </c>
      <c r="D21" s="45">
        <v>5.5</v>
      </c>
      <c r="E21" s="72" t="s">
        <v>175</v>
      </c>
      <c r="F21" s="72"/>
      <c r="G21" s="72"/>
      <c r="H21" s="45">
        <v>5.75</v>
      </c>
      <c r="I21" s="72" t="s">
        <v>189</v>
      </c>
      <c r="J21" s="72"/>
      <c r="K21" s="72"/>
      <c r="L21" s="40">
        <v>5.75</v>
      </c>
      <c r="M21" s="136"/>
      <c r="N21" s="136"/>
      <c r="O21" s="136"/>
      <c r="P21" s="40"/>
      <c r="Q21" s="136"/>
      <c r="R21" s="136"/>
      <c r="S21" s="137"/>
      <c r="T21" s="19"/>
    </row>
    <row r="22" spans="1:20" ht="50.25" customHeight="1" x14ac:dyDescent="0.35">
      <c r="A22" s="116"/>
      <c r="B22" s="66" t="s">
        <v>101</v>
      </c>
      <c r="C22" s="67" t="s">
        <v>101</v>
      </c>
      <c r="D22" s="45">
        <v>6</v>
      </c>
      <c r="E22" s="72"/>
      <c r="F22" s="72"/>
      <c r="G22" s="72"/>
      <c r="H22" s="45">
        <v>5.75</v>
      </c>
      <c r="I22" s="72" t="s">
        <v>190</v>
      </c>
      <c r="J22" s="72"/>
      <c r="K22" s="72"/>
      <c r="L22" s="45">
        <v>5.75</v>
      </c>
      <c r="M22" s="133"/>
      <c r="N22" s="134"/>
      <c r="O22" s="139"/>
      <c r="P22" s="45"/>
      <c r="Q22" s="133"/>
      <c r="R22" s="134"/>
      <c r="S22" s="135"/>
      <c r="T22" s="19"/>
    </row>
    <row r="23" spans="1:20" ht="50.25" customHeight="1" x14ac:dyDescent="0.35">
      <c r="A23" s="116"/>
      <c r="B23" s="66" t="s">
        <v>102</v>
      </c>
      <c r="C23" s="67" t="s">
        <v>102</v>
      </c>
      <c r="D23" s="45" t="s">
        <v>176</v>
      </c>
      <c r="E23" s="72" t="s">
        <v>177</v>
      </c>
      <c r="F23" s="72"/>
      <c r="G23" s="72"/>
      <c r="H23" s="45">
        <v>6</v>
      </c>
      <c r="I23" s="72"/>
      <c r="J23" s="72"/>
      <c r="K23" s="72"/>
      <c r="L23" s="45">
        <v>6</v>
      </c>
      <c r="M23" s="132"/>
      <c r="N23" s="132"/>
      <c r="O23" s="132"/>
      <c r="P23" s="45"/>
      <c r="Q23" s="132"/>
      <c r="R23" s="132"/>
      <c r="S23" s="138"/>
      <c r="T23" s="19"/>
    </row>
    <row r="24" spans="1:20" ht="26" x14ac:dyDescent="0.35">
      <c r="A24" s="117"/>
      <c r="B24" s="63" t="s">
        <v>66</v>
      </c>
      <c r="C24" s="64"/>
      <c r="D24" s="41">
        <f>AVERAGE(D19:D23)</f>
        <v>5.625</v>
      </c>
      <c r="E24" s="121"/>
      <c r="F24" s="122"/>
      <c r="G24" s="123"/>
      <c r="H24" s="41">
        <f>AVERAGE(H19:H23)</f>
        <v>5.9</v>
      </c>
      <c r="I24" s="121"/>
      <c r="J24" s="122"/>
      <c r="K24" s="123"/>
      <c r="L24" s="41">
        <f>AVERAGE(L19:L23)</f>
        <v>5.7</v>
      </c>
      <c r="M24" s="121"/>
      <c r="N24" s="122"/>
      <c r="O24" s="123"/>
      <c r="P24" s="41" t="e">
        <f>AVERAGE(P19:P23)</f>
        <v>#DIV/0!</v>
      </c>
      <c r="Q24" s="121"/>
      <c r="R24" s="122"/>
      <c r="S24" s="124"/>
      <c r="T24" s="19"/>
    </row>
    <row r="25" spans="1:20" ht="26.25" customHeight="1" x14ac:dyDescent="0.35">
      <c r="A25" s="115" t="s">
        <v>68</v>
      </c>
      <c r="B25" s="73" t="s">
        <v>73</v>
      </c>
      <c r="C25" s="74"/>
      <c r="D25" s="42"/>
      <c r="E25" s="43"/>
      <c r="F25" s="43"/>
      <c r="G25" s="43"/>
      <c r="H25" s="42"/>
      <c r="I25" s="43"/>
      <c r="J25" s="43"/>
      <c r="K25" s="43"/>
      <c r="L25" s="42"/>
      <c r="M25" s="44"/>
      <c r="N25" s="43"/>
      <c r="O25" s="43"/>
      <c r="P25" s="42"/>
      <c r="Q25" s="43"/>
      <c r="R25" s="43"/>
      <c r="S25" s="52"/>
      <c r="T25" s="19"/>
    </row>
    <row r="26" spans="1:20" ht="64.5" customHeight="1" x14ac:dyDescent="0.35">
      <c r="A26" s="116"/>
      <c r="B26" s="66" t="s">
        <v>94</v>
      </c>
      <c r="C26" s="67" t="s">
        <v>94</v>
      </c>
      <c r="D26" s="45">
        <v>5.5</v>
      </c>
      <c r="E26" s="72" t="s">
        <v>178</v>
      </c>
      <c r="F26" s="72"/>
      <c r="G26" s="72"/>
      <c r="H26" s="45">
        <v>6</v>
      </c>
      <c r="I26" s="72" t="s">
        <v>191</v>
      </c>
      <c r="J26" s="72"/>
      <c r="K26" s="72"/>
      <c r="L26" s="45">
        <v>5</v>
      </c>
      <c r="M26" s="136"/>
      <c r="N26" s="136"/>
      <c r="O26" s="136"/>
      <c r="P26" s="45">
        <v>5</v>
      </c>
      <c r="Q26" s="136" t="s">
        <v>183</v>
      </c>
      <c r="R26" s="136"/>
      <c r="S26" s="137"/>
      <c r="T26" s="19"/>
    </row>
    <row r="27" spans="1:20" ht="49.5" customHeight="1" x14ac:dyDescent="0.35">
      <c r="A27" s="116"/>
      <c r="B27" s="66" t="s">
        <v>95</v>
      </c>
      <c r="C27" s="67" t="s">
        <v>95</v>
      </c>
      <c r="D27" s="45">
        <v>5.5</v>
      </c>
      <c r="E27" s="72" t="s">
        <v>179</v>
      </c>
      <c r="F27" s="72"/>
      <c r="G27" s="72"/>
      <c r="H27" s="45">
        <v>6</v>
      </c>
      <c r="I27" s="72"/>
      <c r="J27" s="72"/>
      <c r="K27" s="72"/>
      <c r="L27" s="45">
        <v>5</v>
      </c>
      <c r="M27" s="136"/>
      <c r="N27" s="136"/>
      <c r="O27" s="136"/>
      <c r="P27" s="45">
        <v>5</v>
      </c>
      <c r="Q27" s="136" t="s">
        <v>184</v>
      </c>
      <c r="R27" s="136"/>
      <c r="S27" s="137"/>
      <c r="T27" s="19"/>
    </row>
    <row r="28" spans="1:20" ht="57.5" customHeight="1" x14ac:dyDescent="0.35">
      <c r="A28" s="116"/>
      <c r="B28" s="66" t="s">
        <v>96</v>
      </c>
      <c r="C28" s="67" t="s">
        <v>96</v>
      </c>
      <c r="D28" s="45">
        <v>6</v>
      </c>
      <c r="E28" s="72" t="s">
        <v>80</v>
      </c>
      <c r="F28" s="72"/>
      <c r="G28" s="72"/>
      <c r="H28" s="45">
        <v>6</v>
      </c>
      <c r="I28" s="72"/>
      <c r="J28" s="72"/>
      <c r="K28" s="72"/>
      <c r="L28" s="45">
        <v>5</v>
      </c>
      <c r="M28" s="136"/>
      <c r="N28" s="136"/>
      <c r="O28" s="136"/>
      <c r="P28" s="45"/>
      <c r="Q28" s="136"/>
      <c r="R28" s="136"/>
      <c r="S28" s="137"/>
      <c r="T28" s="19"/>
    </row>
    <row r="29" spans="1:20" ht="49.5" customHeight="1" x14ac:dyDescent="0.35">
      <c r="A29" s="116"/>
      <c r="B29" s="66" t="s">
        <v>97</v>
      </c>
      <c r="C29" s="67" t="s">
        <v>97</v>
      </c>
      <c r="D29" s="45">
        <v>5.5</v>
      </c>
      <c r="E29" s="72" t="s">
        <v>180</v>
      </c>
      <c r="F29" s="72"/>
      <c r="G29" s="72"/>
      <c r="H29" s="45">
        <v>6</v>
      </c>
      <c r="I29" s="72"/>
      <c r="J29" s="72"/>
      <c r="K29" s="72"/>
      <c r="L29" s="45">
        <v>5</v>
      </c>
      <c r="M29" s="136"/>
      <c r="N29" s="136"/>
      <c r="O29" s="136"/>
      <c r="P29" s="45">
        <v>5</v>
      </c>
      <c r="Q29" s="136" t="s">
        <v>185</v>
      </c>
      <c r="R29" s="136"/>
      <c r="S29" s="137"/>
      <c r="T29" s="19"/>
    </row>
    <row r="30" spans="1:20" ht="26" x14ac:dyDescent="0.35">
      <c r="A30" s="117"/>
      <c r="B30" s="63" t="s">
        <v>66</v>
      </c>
      <c r="C30" s="64"/>
      <c r="D30" s="46">
        <f>AVERAGE(D26:D29)</f>
        <v>5.625</v>
      </c>
      <c r="E30" s="63"/>
      <c r="F30" s="65"/>
      <c r="G30" s="64"/>
      <c r="H30" s="46">
        <f>AVERAGE(H26:H29)</f>
        <v>6</v>
      </c>
      <c r="I30" s="63"/>
      <c r="J30" s="65"/>
      <c r="K30" s="64"/>
      <c r="L30" s="46">
        <f>AVERAGE(L26:L29)</f>
        <v>5</v>
      </c>
      <c r="M30" s="63"/>
      <c r="N30" s="65"/>
      <c r="O30" s="64"/>
      <c r="P30" s="46">
        <f>AVERAGE(P26:P29)</f>
        <v>5</v>
      </c>
      <c r="Q30" s="63"/>
      <c r="R30" s="65"/>
      <c r="S30" s="140"/>
      <c r="T30" s="19"/>
    </row>
    <row r="31" spans="1:20" ht="21" customHeight="1" x14ac:dyDescent="0.35">
      <c r="A31" s="53"/>
      <c r="B31" s="59" t="s">
        <v>17</v>
      </c>
      <c r="C31" s="60"/>
      <c r="D31" s="47">
        <f>AVERAGE(D24,D17,D30)</f>
        <v>5.666666666666667</v>
      </c>
      <c r="E31" s="59"/>
      <c r="F31" s="61"/>
      <c r="G31" s="60"/>
      <c r="H31" s="47">
        <f>AVERAGE(H24,H17,H30)</f>
        <v>5.9333333333333336</v>
      </c>
      <c r="I31" s="59"/>
      <c r="J31" s="61"/>
      <c r="K31" s="60"/>
      <c r="L31" s="47">
        <f>AVERAGE(L24,L17,L30)</f>
        <v>5.5166666666666666</v>
      </c>
      <c r="M31" s="59"/>
      <c r="N31" s="61"/>
      <c r="O31" s="60"/>
      <c r="P31" s="47" t="e">
        <f>AVERAGE(P24,P17,P30)</f>
        <v>#DIV/0!</v>
      </c>
      <c r="Q31" s="59"/>
      <c r="R31" s="61"/>
      <c r="S31" s="62"/>
      <c r="T31" s="19"/>
    </row>
    <row r="32" spans="1:20" ht="153" customHeight="1" thickBot="1" x14ac:dyDescent="0.4">
      <c r="A32" s="54" t="s">
        <v>67</v>
      </c>
      <c r="B32" s="55"/>
      <c r="C32" s="55"/>
      <c r="D32" s="56" t="s">
        <v>181</v>
      </c>
      <c r="E32" s="57"/>
      <c r="F32" s="57"/>
      <c r="G32" s="58"/>
      <c r="H32" s="56"/>
      <c r="I32" s="57"/>
      <c r="J32" s="57"/>
      <c r="K32" s="58"/>
      <c r="L32" s="56" t="s">
        <v>194</v>
      </c>
      <c r="M32" s="57"/>
      <c r="N32" s="57"/>
      <c r="O32" s="58"/>
      <c r="P32" s="56" t="s">
        <v>186</v>
      </c>
      <c r="Q32" s="57"/>
      <c r="R32" s="57"/>
      <c r="S32" s="58"/>
      <c r="T32" s="19"/>
    </row>
    <row r="33" spans="4:4" x14ac:dyDescent="0.35">
      <c r="D33" s="16"/>
    </row>
  </sheetData>
  <mergeCells count="150">
    <mergeCell ref="A1:G1"/>
    <mergeCell ref="H1:S1"/>
    <mergeCell ref="A2:A8"/>
    <mergeCell ref="D2:E2"/>
    <mergeCell ref="F2:G2"/>
    <mergeCell ref="H2:I2"/>
    <mergeCell ref="J2:K2"/>
    <mergeCell ref="L2:M2"/>
    <mergeCell ref="P2:Q2"/>
    <mergeCell ref="R2:S2"/>
    <mergeCell ref="R3:S3"/>
    <mergeCell ref="B4:C4"/>
    <mergeCell ref="D4:G4"/>
    <mergeCell ref="H4:K4"/>
    <mergeCell ref="L4:O4"/>
    <mergeCell ref="P4:S4"/>
    <mergeCell ref="B3:C3"/>
    <mergeCell ref="D3:G3"/>
    <mergeCell ref="H3:I3"/>
    <mergeCell ref="J3:K3"/>
    <mergeCell ref="L3:M3"/>
    <mergeCell ref="P3:Q3"/>
    <mergeCell ref="D5:G5"/>
    <mergeCell ref="H5:K5"/>
    <mergeCell ref="L5:O5"/>
    <mergeCell ref="P5:S5"/>
    <mergeCell ref="B6:C6"/>
    <mergeCell ref="D6:G6"/>
    <mergeCell ref="H6:K6"/>
    <mergeCell ref="L6:O6"/>
    <mergeCell ref="P6:S6"/>
    <mergeCell ref="D7:F7"/>
    <mergeCell ref="H7:J7"/>
    <mergeCell ref="L7:N7"/>
    <mergeCell ref="P7:R7"/>
    <mergeCell ref="B8:C8"/>
    <mergeCell ref="D8:G8"/>
    <mergeCell ref="H8:K8"/>
    <mergeCell ref="L8:O8"/>
    <mergeCell ref="P8:S8"/>
    <mergeCell ref="P9:Q9"/>
    <mergeCell ref="R9:S9"/>
    <mergeCell ref="B10:S10"/>
    <mergeCell ref="A11:A17"/>
    <mergeCell ref="B11:C11"/>
    <mergeCell ref="B12:C12"/>
    <mergeCell ref="E12:G12"/>
    <mergeCell ref="I12:K12"/>
    <mergeCell ref="M12:O12"/>
    <mergeCell ref="Q12:S12"/>
    <mergeCell ref="D9:E9"/>
    <mergeCell ref="F9:G9"/>
    <mergeCell ref="H9:I9"/>
    <mergeCell ref="J9:K9"/>
    <mergeCell ref="L9:M9"/>
    <mergeCell ref="N9:O9"/>
    <mergeCell ref="Q15:S15"/>
    <mergeCell ref="B16:C16"/>
    <mergeCell ref="E16:G16"/>
    <mergeCell ref="I16:K16"/>
    <mergeCell ref="M16:O16"/>
    <mergeCell ref="Q16:S16"/>
    <mergeCell ref="B13:C13"/>
    <mergeCell ref="E13:G13"/>
    <mergeCell ref="I13:K13"/>
    <mergeCell ref="M13:O13"/>
    <mergeCell ref="Q13:S13"/>
    <mergeCell ref="B14:C14"/>
    <mergeCell ref="E14:G14"/>
    <mergeCell ref="I14:K14"/>
    <mergeCell ref="M14:O14"/>
    <mergeCell ref="Q14:S14"/>
    <mergeCell ref="A18:A24"/>
    <mergeCell ref="B18:C18"/>
    <mergeCell ref="B19:C19"/>
    <mergeCell ref="E19:G19"/>
    <mergeCell ref="I19:K19"/>
    <mergeCell ref="B15:C15"/>
    <mergeCell ref="E15:G15"/>
    <mergeCell ref="I15:K15"/>
    <mergeCell ref="M15:O15"/>
    <mergeCell ref="M19:O19"/>
    <mergeCell ref="Q19:S19"/>
    <mergeCell ref="B20:C20"/>
    <mergeCell ref="E20:G20"/>
    <mergeCell ref="I20:K20"/>
    <mergeCell ref="M20:O20"/>
    <mergeCell ref="Q20:S20"/>
    <mergeCell ref="B17:C17"/>
    <mergeCell ref="E17:G17"/>
    <mergeCell ref="I17:K17"/>
    <mergeCell ref="M17:O17"/>
    <mergeCell ref="Q17:S17"/>
    <mergeCell ref="B21:C21"/>
    <mergeCell ref="E21:G21"/>
    <mergeCell ref="I21:K21"/>
    <mergeCell ref="M21:O21"/>
    <mergeCell ref="Q21:S21"/>
    <mergeCell ref="B22:C22"/>
    <mergeCell ref="E22:G22"/>
    <mergeCell ref="I22:K22"/>
    <mergeCell ref="M22:O22"/>
    <mergeCell ref="Q22:S22"/>
    <mergeCell ref="B23:C23"/>
    <mergeCell ref="E23:G23"/>
    <mergeCell ref="I23:K23"/>
    <mergeCell ref="M23:O23"/>
    <mergeCell ref="Q23:S23"/>
    <mergeCell ref="B24:C24"/>
    <mergeCell ref="E24:G24"/>
    <mergeCell ref="I24:K24"/>
    <mergeCell ref="M24:O24"/>
    <mergeCell ref="Q24:S24"/>
    <mergeCell ref="Q28:S28"/>
    <mergeCell ref="B29:C29"/>
    <mergeCell ref="E29:G29"/>
    <mergeCell ref="I29:K29"/>
    <mergeCell ref="M29:O29"/>
    <mergeCell ref="Q29:S29"/>
    <mergeCell ref="Q26:S26"/>
    <mergeCell ref="B27:C27"/>
    <mergeCell ref="E27:G27"/>
    <mergeCell ref="I27:K27"/>
    <mergeCell ref="M27:O27"/>
    <mergeCell ref="Q27:S27"/>
    <mergeCell ref="B26:C26"/>
    <mergeCell ref="E26:G26"/>
    <mergeCell ref="I26:K26"/>
    <mergeCell ref="M26:O26"/>
    <mergeCell ref="B28:C28"/>
    <mergeCell ref="E28:G28"/>
    <mergeCell ref="I28:K28"/>
    <mergeCell ref="M28:O28"/>
    <mergeCell ref="A32:C32"/>
    <mergeCell ref="D32:G32"/>
    <mergeCell ref="H32:K32"/>
    <mergeCell ref="L32:O32"/>
    <mergeCell ref="P32:S32"/>
    <mergeCell ref="B30:C30"/>
    <mergeCell ref="E30:G30"/>
    <mergeCell ref="I30:K30"/>
    <mergeCell ref="M30:O30"/>
    <mergeCell ref="Q30:S30"/>
    <mergeCell ref="B31:C31"/>
    <mergeCell ref="E31:G31"/>
    <mergeCell ref="I31:K31"/>
    <mergeCell ref="M31:O31"/>
    <mergeCell ref="Q31:S31"/>
    <mergeCell ref="A25:A30"/>
    <mergeCell ref="B25:C25"/>
  </mergeCells>
  <printOptions horizontalCentered="1" verticalCentered="1"/>
  <pageMargins left="0" right="0" top="0" bottom="0" header="0" footer="0"/>
  <pageSetup paperSize="9" scale="3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35"/>
    <pageSetUpPr fitToPage="1"/>
  </sheetPr>
  <dimension ref="A1:H44"/>
  <sheetViews>
    <sheetView view="pageBreakPreview" zoomScale="60" zoomScaleNormal="60" workbookViewId="0">
      <selection activeCell="K9" sqref="K9"/>
    </sheetView>
  </sheetViews>
  <sheetFormatPr defaultColWidth="11.453125" defaultRowHeight="14.5" x14ac:dyDescent="0.35"/>
  <cols>
    <col min="1" max="1" width="15.453125" customWidth="1"/>
    <col min="3" max="3" width="19.1796875" customWidth="1"/>
    <col min="4" max="4" width="28.26953125" customWidth="1"/>
    <col min="5" max="5" width="8.453125" customWidth="1"/>
    <col min="6" max="6" width="14.81640625" customWidth="1"/>
  </cols>
  <sheetData>
    <row r="1" spans="1:8" ht="15" customHeight="1" x14ac:dyDescent="0.35">
      <c r="A1" s="164"/>
      <c r="B1" s="165"/>
      <c r="C1" s="165"/>
      <c r="D1" s="165"/>
      <c r="E1" s="165"/>
      <c r="F1" s="166"/>
    </row>
    <row r="2" spans="1:8" ht="76" customHeight="1" x14ac:dyDescent="0.35">
      <c r="A2" s="167"/>
      <c r="B2" s="168"/>
      <c r="C2" s="168"/>
      <c r="D2" s="168"/>
      <c r="E2" s="168"/>
      <c r="F2" s="169"/>
    </row>
    <row r="3" spans="1:8" ht="26.25" customHeight="1" x14ac:dyDescent="0.35">
      <c r="A3" s="170"/>
      <c r="B3" s="171"/>
      <c r="C3" s="171"/>
      <c r="D3" s="171"/>
      <c r="E3" s="171"/>
      <c r="F3" s="172"/>
      <c r="H3" s="14"/>
    </row>
    <row r="4" spans="1:8" x14ac:dyDescent="0.35">
      <c r="A4" s="173" t="s">
        <v>61</v>
      </c>
      <c r="B4" s="174"/>
      <c r="C4" s="174"/>
      <c r="D4" s="174"/>
      <c r="E4" s="174"/>
      <c r="F4" s="175"/>
    </row>
    <row r="5" spans="1:8" ht="19.5" customHeight="1" x14ac:dyDescent="0.35">
      <c r="A5" s="176"/>
      <c r="B5" s="177"/>
      <c r="C5" s="177"/>
      <c r="D5" s="177"/>
      <c r="E5" s="177"/>
      <c r="F5" s="178"/>
    </row>
    <row r="6" spans="1:8" x14ac:dyDescent="0.35">
      <c r="A6" s="3"/>
      <c r="B6" s="1"/>
      <c r="C6" s="1"/>
      <c r="D6" s="1"/>
      <c r="E6" s="1"/>
      <c r="F6" s="2"/>
    </row>
    <row r="7" spans="1:8" ht="30.75" customHeight="1" x14ac:dyDescent="0.6">
      <c r="A7" s="8"/>
      <c r="F7" s="9"/>
    </row>
    <row r="8" spans="1:8" ht="19.5" x14ac:dyDescent="0.45">
      <c r="A8" s="179" t="s">
        <v>26</v>
      </c>
      <c r="B8" s="180"/>
      <c r="C8" s="180"/>
      <c r="F8" s="4"/>
    </row>
    <row r="9" spans="1:8" x14ac:dyDescent="0.35">
      <c r="A9" s="8"/>
      <c r="F9" s="4"/>
    </row>
    <row r="10" spans="1:8" ht="15.5" x14ac:dyDescent="0.35">
      <c r="A10" s="10" t="s">
        <v>27</v>
      </c>
      <c r="B10" s="11" t="s">
        <v>28</v>
      </c>
      <c r="D10" s="181" t="s">
        <v>57</v>
      </c>
      <c r="E10" s="181"/>
      <c r="F10" s="4"/>
    </row>
    <row r="11" spans="1:8" ht="15.5" x14ac:dyDescent="0.35">
      <c r="A11" s="10" t="s">
        <v>29</v>
      </c>
      <c r="B11" s="11" t="s">
        <v>30</v>
      </c>
      <c r="C11" t="s">
        <v>85</v>
      </c>
      <c r="D11" s="181"/>
      <c r="E11" s="181"/>
      <c r="F11" s="4"/>
    </row>
    <row r="12" spans="1:8" ht="15.5" x14ac:dyDescent="0.35">
      <c r="A12" s="10" t="s">
        <v>31</v>
      </c>
      <c r="B12" s="11" t="s">
        <v>32</v>
      </c>
      <c r="D12" s="181"/>
      <c r="E12" s="181"/>
      <c r="F12" s="4"/>
    </row>
    <row r="13" spans="1:8" ht="15.5" x14ac:dyDescent="0.35">
      <c r="A13" s="10" t="s">
        <v>33</v>
      </c>
      <c r="B13" s="11" t="s">
        <v>58</v>
      </c>
      <c r="D13" s="182" t="s">
        <v>34</v>
      </c>
      <c r="E13" s="182"/>
      <c r="F13" s="4"/>
    </row>
    <row r="14" spans="1:8" ht="15.5" x14ac:dyDescent="0.35">
      <c r="A14" s="10" t="s">
        <v>35</v>
      </c>
      <c r="B14" s="11" t="s">
        <v>59</v>
      </c>
      <c r="D14" s="182"/>
      <c r="E14" s="182"/>
      <c r="F14" s="4"/>
    </row>
    <row r="15" spans="1:8" ht="15.5" x14ac:dyDescent="0.35">
      <c r="A15" s="10" t="s">
        <v>36</v>
      </c>
      <c r="B15" s="11" t="s">
        <v>18</v>
      </c>
      <c r="D15" s="163" t="s">
        <v>18</v>
      </c>
      <c r="E15" s="163"/>
      <c r="F15" s="4"/>
    </row>
    <row r="16" spans="1:8" ht="15.5" x14ac:dyDescent="0.35">
      <c r="A16" s="10" t="s">
        <v>37</v>
      </c>
      <c r="B16" s="11" t="s">
        <v>38</v>
      </c>
      <c r="D16" s="163"/>
      <c r="E16" s="163"/>
      <c r="F16" s="4"/>
    </row>
    <row r="17" spans="1:6" ht="15.5" x14ac:dyDescent="0.35">
      <c r="A17" s="10" t="s">
        <v>39</v>
      </c>
      <c r="B17" s="11" t="s">
        <v>40</v>
      </c>
      <c r="D17" s="163"/>
      <c r="E17" s="163"/>
      <c r="F17" s="4"/>
    </row>
    <row r="18" spans="1:6" x14ac:dyDescent="0.35">
      <c r="A18" s="8"/>
      <c r="F18" s="4"/>
    </row>
    <row r="19" spans="1:6" x14ac:dyDescent="0.35">
      <c r="A19" s="8"/>
      <c r="F19" s="4"/>
    </row>
    <row r="20" spans="1:6" ht="15.5" x14ac:dyDescent="0.35">
      <c r="A20" s="10"/>
      <c r="F20" s="4"/>
    </row>
    <row r="21" spans="1:6" ht="15.5" x14ac:dyDescent="0.35">
      <c r="A21" s="10"/>
      <c r="F21" s="4"/>
    </row>
    <row r="22" spans="1:6" x14ac:dyDescent="0.35">
      <c r="A22" s="8"/>
      <c r="F22" s="4"/>
    </row>
    <row r="23" spans="1:6" x14ac:dyDescent="0.35">
      <c r="A23" s="8"/>
      <c r="F23" s="4"/>
    </row>
    <row r="24" spans="1:6" x14ac:dyDescent="0.35">
      <c r="A24" s="12" t="s">
        <v>41</v>
      </c>
      <c r="B24" t="s">
        <v>42</v>
      </c>
      <c r="F24" s="4"/>
    </row>
    <row r="25" spans="1:6" x14ac:dyDescent="0.35">
      <c r="A25" s="8"/>
      <c r="F25" s="4"/>
    </row>
    <row r="26" spans="1:6" x14ac:dyDescent="0.35">
      <c r="A26" s="8"/>
      <c r="F26" s="4"/>
    </row>
    <row r="27" spans="1:6" x14ac:dyDescent="0.35">
      <c r="A27" s="12" t="s">
        <v>43</v>
      </c>
      <c r="B27" t="s">
        <v>44</v>
      </c>
      <c r="F27" s="4"/>
    </row>
    <row r="28" spans="1:6" x14ac:dyDescent="0.35">
      <c r="A28" s="8"/>
      <c r="B28" t="s">
        <v>45</v>
      </c>
      <c r="F28" s="4"/>
    </row>
    <row r="29" spans="1:6" x14ac:dyDescent="0.35">
      <c r="A29" s="8"/>
      <c r="B29" t="s">
        <v>46</v>
      </c>
      <c r="F29" s="4"/>
    </row>
    <row r="30" spans="1:6" x14ac:dyDescent="0.35">
      <c r="A30" s="8"/>
      <c r="F30" s="4"/>
    </row>
    <row r="31" spans="1:6" x14ac:dyDescent="0.35">
      <c r="A31" s="8"/>
      <c r="F31" s="4"/>
    </row>
    <row r="32" spans="1:6" x14ac:dyDescent="0.35">
      <c r="A32" s="8"/>
      <c r="F32" s="4"/>
    </row>
    <row r="33" spans="1:6" x14ac:dyDescent="0.35">
      <c r="A33" s="8"/>
      <c r="F33" s="4"/>
    </row>
    <row r="34" spans="1:6" x14ac:dyDescent="0.35">
      <c r="A34" s="8"/>
      <c r="F34" s="4"/>
    </row>
    <row r="35" spans="1:6" x14ac:dyDescent="0.35">
      <c r="A35" s="8"/>
      <c r="F35" s="4"/>
    </row>
    <row r="36" spans="1:6" x14ac:dyDescent="0.35">
      <c r="A36" s="8"/>
      <c r="F36" s="4"/>
    </row>
    <row r="37" spans="1:6" x14ac:dyDescent="0.35">
      <c r="A37" s="8"/>
      <c r="F37" s="4"/>
    </row>
    <row r="38" spans="1:6" x14ac:dyDescent="0.35">
      <c r="A38" s="8"/>
      <c r="F38" s="4"/>
    </row>
    <row r="39" spans="1:6" x14ac:dyDescent="0.35">
      <c r="A39" s="8"/>
      <c r="F39" s="4"/>
    </row>
    <row r="40" spans="1:6" x14ac:dyDescent="0.35">
      <c r="A40" s="8"/>
      <c r="F40" s="4"/>
    </row>
    <row r="41" spans="1:6" x14ac:dyDescent="0.35">
      <c r="A41" s="8"/>
      <c r="F41" s="4"/>
    </row>
    <row r="42" spans="1:6" x14ac:dyDescent="0.35">
      <c r="A42" s="8"/>
      <c r="F42" s="4"/>
    </row>
    <row r="43" spans="1:6" x14ac:dyDescent="0.35">
      <c r="A43" s="8"/>
      <c r="F43" s="4"/>
    </row>
    <row r="44" spans="1:6" x14ac:dyDescent="0.35">
      <c r="A44" s="13"/>
      <c r="B44" s="5"/>
      <c r="C44" s="5"/>
      <c r="D44" s="5"/>
      <c r="E44" s="5"/>
      <c r="F44" s="6"/>
    </row>
  </sheetData>
  <mergeCells count="7">
    <mergeCell ref="D15:E17"/>
    <mergeCell ref="A1:F2"/>
    <mergeCell ref="A3:F3"/>
    <mergeCell ref="A4:F5"/>
    <mergeCell ref="A8:C8"/>
    <mergeCell ref="D10:E12"/>
    <mergeCell ref="D13:E14"/>
  </mergeCells>
  <phoneticPr fontId="0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Tabelle</vt:lpstr>
      <vt:lpstr>dryhandling1</vt:lpstr>
      <vt:lpstr>dryhandling2</vt:lpstr>
      <vt:lpstr>Description</vt:lpstr>
      <vt:lpstr>Description!Print_Area</vt:lpstr>
      <vt:lpstr>dryhandling1!Print_Area</vt:lpstr>
      <vt:lpstr>dryhandling2!Print_Area</vt:lpstr>
      <vt:lpstr>Tabelle!Print_Area</vt:lpstr>
    </vt:vector>
  </TitlesOfParts>
  <Company>Apollo Tyres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R.Sven</dc:creator>
  <cp:lastModifiedBy>Kamlendra Deora</cp:lastModifiedBy>
  <cp:lastPrinted>2025-10-15T05:12:03Z</cp:lastPrinted>
  <dcterms:created xsi:type="dcterms:W3CDTF">2009-04-17T08:27:31Z</dcterms:created>
  <dcterms:modified xsi:type="dcterms:W3CDTF">2026-09-28T11:28:12Z</dcterms:modified>
</cp:coreProperties>
</file>