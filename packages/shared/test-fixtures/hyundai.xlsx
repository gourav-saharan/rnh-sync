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kmailsp-my.sharepoint.com/personal/kamlendra_deora_jkmail_com/Documents/Desktop/"/>
    </mc:Choice>
  </mc:AlternateContent>
  <xr:revisionPtr revIDLastSave="1380" documentId="11_D05E93AA64C7D321073DD2D4E7C855546D6301A7" xr6:coauthVersionLast="47" xr6:coauthVersionMax="47" xr10:uidLastSave="{92E7AD22-3513-4594-BE7C-55E3504058C3}"/>
  <bookViews>
    <workbookView xWindow="-110" yWindow="-110" windowWidth="19420" windowHeight="10300" tabRatio="828" activeTab="1" xr2:uid="{00000000-000D-0000-FFFF-FFFF00000000}"/>
  </bookViews>
  <sheets>
    <sheet name="Tabelle" sheetId="2" r:id="rId1"/>
    <sheet name="dryhandling1" sheetId="1" r:id="rId2"/>
    <sheet name="dryhandling2" sheetId="26" r:id="rId3"/>
    <sheet name="Description" sheetId="25" r:id="rId4"/>
  </sheets>
  <definedNames>
    <definedName name="_xlnm.Print_Area" localSheetId="3">Description!$A$1:$F$44</definedName>
    <definedName name="_xlnm.Print_Area" localSheetId="1">dryhandling1!$A$1:$T$39</definedName>
    <definedName name="_xlnm.Print_Area" localSheetId="2">dryhandling2!$A$1:$T$39</definedName>
    <definedName name="_xlnm.Print_Area" localSheetId="0">Tabelle!$A$1:$H$46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I26" i="1"/>
  <c r="E37" i="1"/>
  <c r="E37" i="26"/>
  <c r="E33" i="26"/>
  <c r="E26" i="26"/>
  <c r="E18" i="26"/>
  <c r="Q6" i="26"/>
  <c r="M6" i="26"/>
  <c r="I6" i="26"/>
  <c r="Q37" i="26"/>
  <c r="M37" i="26"/>
  <c r="I37" i="26"/>
  <c r="Q33" i="26"/>
  <c r="M33" i="26"/>
  <c r="I33" i="26"/>
  <c r="Q26" i="26"/>
  <c r="M26" i="26"/>
  <c r="I26" i="26"/>
  <c r="Q18" i="26"/>
  <c r="M18" i="26"/>
  <c r="I18" i="26"/>
  <c r="Q8" i="26"/>
  <c r="M8" i="26"/>
  <c r="I8" i="26"/>
  <c r="E8" i="26"/>
  <c r="T7" i="26"/>
  <c r="Q7" i="26"/>
  <c r="P7" i="26"/>
  <c r="M7" i="26"/>
  <c r="L7" i="26"/>
  <c r="I7" i="26"/>
  <c r="H7" i="26"/>
  <c r="E7" i="26"/>
  <c r="E6" i="26"/>
  <c r="Q5" i="26"/>
  <c r="M5" i="26"/>
  <c r="I5" i="26"/>
  <c r="E5" i="26"/>
  <c r="C5" i="26"/>
  <c r="O3" i="26"/>
  <c r="K3" i="26"/>
  <c r="S2" i="26"/>
  <c r="O2" i="26"/>
  <c r="K2" i="26"/>
  <c r="C2" i="26"/>
  <c r="Q37" i="1"/>
  <c r="Q26" i="1"/>
  <c r="Q18" i="1"/>
  <c r="M37" i="1"/>
  <c r="M26" i="1"/>
  <c r="I18" i="1"/>
  <c r="E26" i="1"/>
  <c r="E18" i="1"/>
  <c r="C2" i="1"/>
  <c r="E38" i="1" l="1"/>
  <c r="E38" i="26"/>
  <c r="I38" i="1"/>
  <c r="I38" i="26"/>
  <c r="M38" i="26"/>
  <c r="Q38" i="26"/>
  <c r="M38" i="1"/>
  <c r="Q38" i="1"/>
  <c r="Q7" i="1"/>
  <c r="M7" i="1"/>
  <c r="I7" i="1"/>
  <c r="E7" i="1"/>
  <c r="T7" i="1"/>
  <c r="P7" i="1"/>
  <c r="L7" i="1"/>
  <c r="H7" i="1"/>
  <c r="C5" i="1"/>
  <c r="I5" i="1"/>
  <c r="S2" i="1"/>
  <c r="Q8" i="1"/>
  <c r="Q6" i="1"/>
  <c r="Q5" i="1"/>
  <c r="O3" i="1"/>
  <c r="O2" i="1"/>
  <c r="K3" i="1"/>
  <c r="K2" i="1"/>
  <c r="M8" i="1"/>
  <c r="M6" i="1"/>
  <c r="M5" i="1"/>
  <c r="I8" i="1"/>
  <c r="I6" i="1"/>
  <c r="E8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R.Sven</author>
  </authors>
  <commentList>
    <comment ref="C5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no. Of the project
001.11
</t>
        </r>
      </text>
    </comment>
    <comment ref="C13" authorId="0" shapeId="0" xr:uid="{50483CF7-2C65-4FD7-9C75-F33FF8D1ED89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3" authorId="0" shapeId="0" xr:uid="{331B84FB-9DA4-4ED1-AC47-F193ECD977C4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3" authorId="0" shapeId="0" xr:uid="{406B2F33-790A-457F-9221-F14582CF114B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3" authorId="0" shapeId="0" xr:uid="{952CF8C0-AF22-497F-9B55-684B209FD01D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3" authorId="0" shapeId="0" xr:uid="{BD4A0A25-757C-4238-92A2-408A4C9D02D2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15" authorId="0" shapeId="0" xr:uid="{C7F3E047-C169-487F-925B-1DD486797A93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5" authorId="0" shapeId="0" xr:uid="{84BC75E6-4811-47AC-8693-F709E3D21574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5" authorId="0" shapeId="0" xr:uid="{ADACF32E-6A90-4EED-BA98-A02A9F1FEA57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5" authorId="0" shapeId="0" xr:uid="{B2F9E33D-53CC-48FA-94DA-D7E6353B6EFE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5" authorId="0" shapeId="0" xr:uid="{77750361-BC20-45AB-8C03-AC85FFDB4081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17" authorId="0" shapeId="0" xr:uid="{00000000-0006-0000-0000-00000C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7" authorId="0" shapeId="0" xr:uid="{9F9DC39C-439B-4A5B-A1DD-70D0B9A109F9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7" authorId="0" shapeId="0" xr:uid="{34F150D0-2896-42D4-B348-DD88A27874F4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7" authorId="0" shapeId="0" xr:uid="{2FDA4C6D-3482-4A29-8455-BC7DEEA9E756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7" authorId="0" shapeId="0" xr:uid="{DE2A58B4-EF0E-4B0D-92DE-1F4B59DB6126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19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19" authorId="0" shapeId="0" xr:uid="{C0533FEF-D92A-4D0B-930C-31EAC0DBECBE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19" authorId="0" shapeId="0" xr:uid="{CD187D72-6DCB-45E2-80E8-A694EE0AD9C7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19" authorId="0" shapeId="0" xr:uid="{C2572201-110B-41CF-8D27-D2C446EB0F25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19" authorId="0" shapeId="0" xr:uid="{5808549C-2D1D-45B2-BE46-9B3280B7E5FD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1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1" authorId="0" shapeId="0" xr:uid="{941BC63E-F8F1-4F54-A80D-0B13BF075F07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1" authorId="0" shapeId="0" xr:uid="{261BB5AE-5230-443C-AA76-1B4CB0298BE1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1" authorId="0" shapeId="0" xr:uid="{7EA15DD5-54C7-433B-A59A-50BDD8F9C4F9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1" authorId="0" shapeId="0" xr:uid="{06BAF865-BA07-4D6A-B0FF-BCD5C46CF3F6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3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3" authorId="0" shapeId="0" xr:uid="{960BDEB2-2F61-4F88-92E5-7BEF9A394F02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3" authorId="0" shapeId="0" xr:uid="{DA1461EC-0A7E-4B66-9E77-8B96DB24E23E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3" authorId="0" shapeId="0" xr:uid="{3629FA8B-863A-4DE6-B219-71A3626D1BC0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3" authorId="0" shapeId="0" xr:uid="{9C52DAA4-48D0-4E29-A132-F57B79DD5536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5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Set no.
</t>
        </r>
      </text>
    </comment>
    <comment ref="D25" authorId="0" shapeId="0" xr:uid="{9CCEC582-89DB-45B1-B5A6-CD494793849C}">
      <text>
        <r>
          <rPr>
            <sz val="9"/>
            <color indexed="81"/>
            <rFont val="Tahoma"/>
            <family val="2"/>
          </rPr>
          <t xml:space="preserve">Manufactor
</t>
        </r>
      </text>
    </comment>
    <comment ref="F25" authorId="0" shapeId="0" xr:uid="{4C4DC9AC-84FE-4711-A8EE-401848F0D3C8}">
      <text>
        <r>
          <rPr>
            <b/>
            <sz val="9"/>
            <color indexed="81"/>
            <rFont val="Tahoma"/>
            <family val="2"/>
          </rPr>
          <t>Pattern</t>
        </r>
      </text>
    </comment>
    <comment ref="G25" authorId="0" shapeId="0" xr:uid="{FA26CFB5-D96D-4F0B-84C2-4C3741DF0F47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H25" authorId="0" shapeId="0" xr:uid="{15C9F652-EAD8-4B73-B1E5-B082F855991F}">
      <text>
        <r>
          <rPr>
            <b/>
            <sz val="9"/>
            <color indexed="81"/>
            <rFont val="Tahoma"/>
            <family val="2"/>
          </rPr>
          <t>Compound</t>
        </r>
      </text>
    </comment>
    <comment ref="C28" authorId="0" shapeId="0" xr:uid="{00000000-0006-0000-0000-000025000000}">
      <text>
        <r>
          <rPr>
            <sz val="9"/>
            <color indexed="81"/>
            <rFont val="Tahoma"/>
            <family val="2"/>
          </rPr>
          <t xml:space="preserve">which kind of tests
are listed in this report
</t>
        </r>
      </text>
    </comment>
    <comment ref="F34" authorId="0" shapeId="0" xr:uid="{00000000-0006-0000-0000-000026000000}">
      <text>
        <r>
          <rPr>
            <sz val="9"/>
            <color indexed="81"/>
            <rFont val="Tahoma"/>
            <family val="2"/>
          </rPr>
          <t xml:space="preserve">Bar
</t>
        </r>
      </text>
    </comment>
    <comment ref="C37" authorId="0" shapeId="0" xr:uid="{00000000-0006-0000-0000-000027000000}">
      <text>
        <r>
          <rPr>
            <sz val="9"/>
            <color indexed="81"/>
            <rFont val="Tahoma"/>
            <family val="2"/>
          </rPr>
          <t xml:space="preserve">Rim size --J x -- ET--
</t>
        </r>
      </text>
    </comment>
    <comment ref="C41" authorId="0" shapeId="0" xr:uid="{00000000-0006-0000-0000-000028000000}">
      <text>
        <r>
          <rPr>
            <sz val="9"/>
            <color indexed="81"/>
            <rFont val="Tahoma"/>
            <family val="2"/>
          </rPr>
          <t xml:space="preserve">who did the final summary
</t>
        </r>
      </text>
    </comment>
  </commentList>
</comments>
</file>

<file path=xl/sharedStrings.xml><?xml version="1.0" encoding="utf-8"?>
<sst xmlns="http://schemas.openxmlformats.org/spreadsheetml/2006/main" count="244" uniqueCount="150">
  <si>
    <t>Dry Test</t>
  </si>
  <si>
    <t>Test Track:</t>
  </si>
  <si>
    <t>Tyre Size:</t>
  </si>
  <si>
    <t>Pressure FA:</t>
  </si>
  <si>
    <t>Date:</t>
  </si>
  <si>
    <t>Rim Size:</t>
  </si>
  <si>
    <t>Load of Car:</t>
  </si>
  <si>
    <t>Set A</t>
  </si>
  <si>
    <t>Set B</t>
  </si>
  <si>
    <t>Set C</t>
  </si>
  <si>
    <t>Set D</t>
  </si>
  <si>
    <t>Report Nr.:</t>
  </si>
  <si>
    <t>Tire Set Nr.:</t>
  </si>
  <si>
    <t>Compound</t>
  </si>
  <si>
    <t>DOT</t>
  </si>
  <si>
    <t>Pattern</t>
  </si>
  <si>
    <t>Handling</t>
  </si>
  <si>
    <t>Total Average</t>
  </si>
  <si>
    <t>improvement necessary</t>
  </si>
  <si>
    <t>Date :</t>
  </si>
  <si>
    <t>Date of test :</t>
  </si>
  <si>
    <t>Test vehicle :</t>
  </si>
  <si>
    <t>Test performed :</t>
  </si>
  <si>
    <t>Proving ground :</t>
  </si>
  <si>
    <t>Inflation pressure :</t>
  </si>
  <si>
    <t>Rim :</t>
  </si>
  <si>
    <t>Rating</t>
  </si>
  <si>
    <t>10 Points</t>
  </si>
  <si>
    <t>excellent</t>
  </si>
  <si>
    <t>9 Points</t>
  </si>
  <si>
    <t>very good</t>
  </si>
  <si>
    <t>8 Points</t>
  </si>
  <si>
    <t>good</t>
  </si>
  <si>
    <t>7 Points</t>
  </si>
  <si>
    <t>replacement</t>
  </si>
  <si>
    <t>6 Points</t>
  </si>
  <si>
    <t>5 Points</t>
  </si>
  <si>
    <t>4 Points</t>
  </si>
  <si>
    <t>bad</t>
  </si>
  <si>
    <t>3 Points</t>
  </si>
  <si>
    <t>very bad</t>
  </si>
  <si>
    <t>Wethandling:</t>
  </si>
  <si>
    <t>Groups should by limited up to max 5-6 sets</t>
  </si>
  <si>
    <t>Dryhandling:</t>
  </si>
  <si>
    <t>Groups with more than 4 sets, must by driven partly up to max 4 sets.</t>
  </si>
  <si>
    <t>Finaly you have to check the best sets in a final group.</t>
  </si>
  <si>
    <t>One Test, max up to 3 groups.</t>
  </si>
  <si>
    <t>Report - Nr.:</t>
  </si>
  <si>
    <t>Test sets :</t>
  </si>
  <si>
    <t>Test equipment :</t>
  </si>
  <si>
    <t xml:space="preserve">  </t>
  </si>
  <si>
    <t>Report done by:</t>
  </si>
  <si>
    <t>FA:</t>
  </si>
  <si>
    <t>RA:</t>
  </si>
  <si>
    <t>Test tyre size :</t>
  </si>
  <si>
    <t>Driver 1:</t>
  </si>
  <si>
    <t>Kamlendra</t>
  </si>
  <si>
    <t xml:space="preserve">OE submission </t>
  </si>
  <si>
    <t>satisfactory</t>
  </si>
  <si>
    <t>Acceptable</t>
  </si>
  <si>
    <t xml:space="preserve">    Pressure RA:</t>
  </si>
  <si>
    <t>Subjective handling, rating and description</t>
  </si>
  <si>
    <t>PSI</t>
  </si>
  <si>
    <t>Temp. Air °C</t>
  </si>
  <si>
    <t>Temp. Road °C</t>
  </si>
  <si>
    <t>Driver+1(F1R1)</t>
  </si>
  <si>
    <t>Average</t>
  </si>
  <si>
    <t xml:space="preserve">Overall Comments  </t>
  </si>
  <si>
    <t>Steering</t>
  </si>
  <si>
    <t>Handling Dry Surface</t>
  </si>
  <si>
    <t>Ride-Vibrations &amp; Noise</t>
  </si>
  <si>
    <t>Subjective Handling Dry  test</t>
  </si>
  <si>
    <t xml:space="preserve">Ride </t>
  </si>
  <si>
    <t>Basic ride
(Pitch/bounce/Roll work/Head toss/Flat)</t>
  </si>
  <si>
    <t>Harshness
(Impact shock/Damping/Acoustic)</t>
  </si>
  <si>
    <t>Roughness
(Shake/Rolling comfort/Coarse feel/Choppy/busy)</t>
  </si>
  <si>
    <t>Weight</t>
  </si>
  <si>
    <t>Balance-Front/Rear
(US or OS/Linearity/Tire squeal)</t>
  </si>
  <si>
    <t>Yaw control
(Response/Damping/Firmness/Overshoot)</t>
  </si>
  <si>
    <t>Roll control
(Amount/Speed/Damping/Recovery)</t>
  </si>
  <si>
    <t>Road holding
(Lateral grip/Firmness &amp; Stiffness)</t>
  </si>
  <si>
    <t>Stability at limit
(Brake in a turn/Lift throttle/Lane change/Slalom)</t>
  </si>
  <si>
    <t xml:space="preserve">Steering  </t>
  </si>
  <si>
    <t>On center feel
(Response/Self centering/Stiffness/Dead band)</t>
  </si>
  <si>
    <t>Off center feel
(response/Linearity/Torque build-up/Effort)</t>
  </si>
  <si>
    <t>Precision/Feedback</t>
  </si>
  <si>
    <t>Returnability
(Steering wheel angle 30/60/90/180˚)</t>
  </si>
  <si>
    <t>Effort
(Parking/City/High way)</t>
  </si>
  <si>
    <t>Enveloping
(Vertical absorbtion &amp; firmness/Damping/Rough</t>
  </si>
  <si>
    <t>Tyre Performance
 Evaluation Report</t>
  </si>
  <si>
    <t>Subject Ride &amp; Handling Dry Performance Test - Summary</t>
  </si>
  <si>
    <t>Pressure Gauge</t>
  </si>
  <si>
    <t>NA</t>
  </si>
  <si>
    <t>JK Tyre</t>
  </si>
  <si>
    <t>Floor vibration (rough road @ 40 KPH)</t>
  </si>
  <si>
    <t>Steering vibrations</t>
  </si>
  <si>
    <t>Rolling Noise (Pattern / Cavity)</t>
  </si>
  <si>
    <t>Squeal noise</t>
    <phoneticPr fontId="0" type="noConversion"/>
  </si>
  <si>
    <t>Noise &amp; 
Vibration</t>
  </si>
  <si>
    <t>ok</t>
  </si>
  <si>
    <t>NVH</t>
  </si>
  <si>
    <t>R&amp;H Subjective Tyre Evaluation Sheet
Tech Center-RPSCOE,Mysore</t>
  </si>
  <si>
    <t>Tech Center RPSCOE,Mysore</t>
  </si>
  <si>
    <t>Subjective Ride &amp; Handling Format</t>
  </si>
  <si>
    <t>High speed stability
(Wandering/Straight stability/Drift &amp; Braking pull)</t>
  </si>
  <si>
    <t>MSPT,Chennai</t>
  </si>
  <si>
    <t>Ranger HP s</t>
  </si>
  <si>
    <t>103H</t>
  </si>
  <si>
    <t>Overall less</t>
  </si>
  <si>
    <t>235/60R18</t>
  </si>
  <si>
    <t>MY6</t>
  </si>
  <si>
    <t>MX1</t>
  </si>
  <si>
    <t>7.0 J x 18(Alloy Rims)</t>
  </si>
  <si>
    <t>Flat ride is ok</t>
  </si>
  <si>
    <t>Slight better impact shock,level is less and more rounded</t>
  </si>
  <si>
    <t>Slight less overall on rough road</t>
  </si>
  <si>
    <t>Slight more busy feel and aftershake on rough road</t>
  </si>
  <si>
    <t>Tyre squeal is less ,balance is ok</t>
  </si>
  <si>
    <t>Yaw gain is low,response is ok</t>
  </si>
  <si>
    <t>Roll level is less ,damping ok</t>
  </si>
  <si>
    <t>Brake In turn is inferior at 90kmph and above</t>
  </si>
  <si>
    <t>Slight big dead band ,stiffness is ok</t>
  </si>
  <si>
    <t>Overall effort is less but ok</t>
  </si>
  <si>
    <t>OK in R&amp;H</t>
  </si>
  <si>
    <t>Slight less bounce and good flat ride</t>
  </si>
  <si>
    <t>Slight hard shock but ok</t>
  </si>
  <si>
    <t>Good enevoloping</t>
  </si>
  <si>
    <t>Slight more u/s</t>
  </si>
  <si>
    <t>Initial delay is more ,low yaw gain</t>
  </si>
  <si>
    <t xml:space="preserve">Good </t>
  </si>
  <si>
    <t>ON center window is big ,stiffness is ok</t>
  </si>
  <si>
    <t>ok overall less effort</t>
  </si>
  <si>
    <t>less precise</t>
  </si>
  <si>
    <t>Ok in ride inferior insteering</t>
  </si>
  <si>
    <t>Slight initial delay</t>
  </si>
  <si>
    <t>MW1</t>
  </si>
  <si>
    <t>MW2</t>
  </si>
  <si>
    <t>Slight less aftershake</t>
  </si>
  <si>
    <t>Mahindra Bolero Sports  Odo - 10139kms U171 (Vehicle Id F37)</t>
  </si>
  <si>
    <t>Brake in turn inferior ,vehicle tuck inside</t>
  </si>
  <si>
    <t>Similar to My6 except brake in turn</t>
  </si>
  <si>
    <t>s</t>
  </si>
  <si>
    <t>Slight more</t>
  </si>
  <si>
    <t>Good stiffness and less dead band</t>
  </si>
  <si>
    <t>Less roll level and ok damping</t>
  </si>
  <si>
    <t>Good torque build up and connected feel</t>
  </si>
  <si>
    <t>Slight more overall but ok</t>
  </si>
  <si>
    <t>light overall</t>
  </si>
  <si>
    <t>light and less build up overall</t>
  </si>
  <si>
    <t>Slight harsh on rough road and single impact,damping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</si>
</sst>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"/>
  </numFmts>
  <fonts count="5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Helv"/>
    </font>
    <font>
      <b/>
      <sz val="11"/>
      <color indexed="8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20"/>
      <color indexed="63"/>
      <name val="Calibri"/>
      <family val="2"/>
    </font>
    <font>
      <u/>
      <sz val="11"/>
      <color indexed="8"/>
      <name val="Calibri"/>
      <family val="2"/>
    </font>
    <font>
      <b/>
      <sz val="12"/>
      <color indexed="8"/>
      <name val="Calibri"/>
      <family val="2"/>
    </font>
    <font>
      <sz val="15"/>
      <color indexed="8"/>
      <name val="Calibri"/>
      <family val="2"/>
    </font>
    <font>
      <b/>
      <sz val="12"/>
      <color indexed="23"/>
      <name val="Calibri"/>
      <family val="2"/>
    </font>
    <font>
      <b/>
      <sz val="36"/>
      <color indexed="23"/>
      <name val="Calibri"/>
      <family val="2"/>
    </font>
    <font>
      <b/>
      <sz val="26"/>
      <color indexed="63"/>
      <name val="Calibri"/>
      <family val="2"/>
    </font>
    <font>
      <sz val="14"/>
      <color indexed="8"/>
      <name val="Calibri"/>
      <family val="2"/>
    </font>
    <font>
      <sz val="18"/>
      <color indexed="8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theme="1"/>
      <name val="Arial"/>
      <family val="2"/>
    </font>
    <font>
      <b/>
      <sz val="36"/>
      <color indexed="23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color indexed="8"/>
      <name val="Calibri"/>
      <family val="2"/>
    </font>
    <font>
      <b/>
      <sz val="16"/>
      <color indexed="8"/>
      <name val="Calibri"/>
      <family val="2"/>
    </font>
    <font>
      <b/>
      <sz val="36"/>
      <color indexed="55"/>
      <name val="Calibri"/>
      <family val="2"/>
    </font>
    <font>
      <b/>
      <sz val="14"/>
      <color indexed="23"/>
      <name val="Verdana"/>
      <family val="2"/>
    </font>
    <font>
      <b/>
      <sz val="20"/>
      <name val="Arial"/>
      <family val="2"/>
    </font>
    <font>
      <sz val="20"/>
      <name val="Arial"/>
      <family val="2"/>
    </font>
    <font>
      <sz val="20"/>
      <color theme="1"/>
      <name val="Calibri"/>
      <family val="2"/>
      <scheme val="minor"/>
    </font>
    <font>
      <sz val="20"/>
      <name val="Calibri"/>
      <family val="2"/>
    </font>
    <font>
      <b/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0"/>
      <color indexed="23"/>
      <name val="Verdana"/>
      <family val="2"/>
    </font>
    <font>
      <b/>
      <u/>
      <sz val="24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26" fillId="20" borderId="1" applyNumberFormat="0" applyAlignment="0" applyProtection="0"/>
    <xf numFmtId="0" fontId="27" fillId="20" borderId="2" applyNumberFormat="0" applyAlignment="0" applyProtection="0"/>
    <xf numFmtId="0" fontId="25" fillId="7" borderId="2" applyNumberFormat="0" applyAlignment="0" applyProtection="0"/>
    <xf numFmtId="0" fontId="6" fillId="0" borderId="4" applyNumberFormat="0" applyFill="0" applyAlignment="0" applyProtection="0"/>
    <xf numFmtId="0" fontId="31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18" fillId="0" borderId="0"/>
    <xf numFmtId="0" fontId="18" fillId="0" borderId="0"/>
    <xf numFmtId="0" fontId="2" fillId="0" borderId="0"/>
    <xf numFmtId="0" fontId="5" fillId="0" borderId="0" applyNumberFormat="0"/>
    <xf numFmtId="0" fontId="1" fillId="22" borderId="9" applyNumberFormat="0" applyFont="0" applyAlignment="0" applyProtection="0"/>
    <xf numFmtId="0" fontId="24" fillId="3" borderId="0" applyNumberFormat="0" applyBorder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29" fillId="21" borderId="3" applyNumberFormat="0" applyAlignment="0" applyProtection="0"/>
    <xf numFmtId="0" fontId="1" fillId="0" borderId="0"/>
  </cellStyleXfs>
  <cellXfs count="219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Protection="1">
      <protection locked="0" hidden="1"/>
    </xf>
    <xf numFmtId="0" fontId="0" fillId="0" borderId="18" xfId="0" applyBorder="1"/>
    <xf numFmtId="0" fontId="9" fillId="0" borderId="14" xfId="0" applyFont="1" applyBorder="1"/>
    <xf numFmtId="165" fontId="7" fillId="0" borderId="18" xfId="34" applyNumberFormat="1" applyFont="1" applyBorder="1" applyAlignment="1" applyProtection="1">
      <alignment horizontal="left"/>
      <protection hidden="1"/>
    </xf>
    <xf numFmtId="165" fontId="7" fillId="0" borderId="0" xfId="34" applyNumberFormat="1" applyFont="1" applyAlignment="1" applyProtection="1">
      <alignment horizontal="left"/>
      <protection hidden="1"/>
    </xf>
    <xf numFmtId="0" fontId="10" fillId="0" borderId="18" xfId="0" applyFont="1" applyBorder="1"/>
    <xf numFmtId="0" fontId="0" fillId="0" borderId="17" xfId="0" applyBorder="1"/>
    <xf numFmtId="0" fontId="0" fillId="0" borderId="0" xfId="0" applyAlignment="1">
      <alignment horizontal="center"/>
    </xf>
    <xf numFmtId="0" fontId="0" fillId="0" borderId="14" xfId="0" applyBorder="1" applyProtection="1">
      <protection locked="0" hidden="1"/>
    </xf>
    <xf numFmtId="0" fontId="0" fillId="0" borderId="0" xfId="0" applyAlignment="1">
      <alignment wrapText="1"/>
    </xf>
    <xf numFmtId="0" fontId="0" fillId="0" borderId="0" xfId="0" applyAlignment="1" applyProtection="1">
      <alignment vertical="center"/>
      <protection locked="0" hidden="1"/>
    </xf>
    <xf numFmtId="0" fontId="0" fillId="0" borderId="14" xfId="0" applyBorder="1" applyAlignment="1" applyProtection="1">
      <alignment vertical="center"/>
      <protection locked="0" hidden="1"/>
    </xf>
    <xf numFmtId="0" fontId="33" fillId="0" borderId="0" xfId="0" applyFont="1"/>
    <xf numFmtId="0" fontId="14" fillId="28" borderId="12" xfId="0" applyFont="1" applyFill="1" applyBorder="1" applyAlignment="1" applyProtection="1">
      <alignment horizontal="center" vertical="center" textRotation="90" shrinkToFit="1"/>
      <protection hidden="1"/>
    </xf>
    <xf numFmtId="0" fontId="0" fillId="0" borderId="18" xfId="0" applyBorder="1" applyAlignment="1" applyProtection="1">
      <alignment vertical="center"/>
      <protection locked="0" hidden="1"/>
    </xf>
    <xf numFmtId="0" fontId="0" fillId="0" borderId="17" xfId="0" applyBorder="1" applyAlignment="1" applyProtection="1">
      <alignment vertical="center"/>
      <protection locked="0" hidden="1"/>
    </xf>
    <xf numFmtId="0" fontId="0" fillId="0" borderId="15" xfId="0" applyBorder="1" applyAlignment="1" applyProtection="1">
      <alignment vertical="center"/>
      <protection locked="0" hidden="1"/>
    </xf>
    <xf numFmtId="0" fontId="0" fillId="0" borderId="16" xfId="0" applyBorder="1" applyAlignment="1" applyProtection="1">
      <alignment vertical="center"/>
      <protection locked="0" hidden="1"/>
    </xf>
    <xf numFmtId="0" fontId="11" fillId="0" borderId="18" xfId="0" applyFont="1" applyBorder="1" applyAlignment="1" applyProtection="1">
      <alignment horizontal="left" vertical="center"/>
      <protection locked="0" hidden="1"/>
    </xf>
    <xf numFmtId="0" fontId="11" fillId="0" borderId="0" xfId="0" applyFont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left" vertical="center"/>
      <protection locked="0" hidden="1"/>
    </xf>
    <xf numFmtId="0" fontId="14" fillId="23" borderId="12" xfId="0" applyFont="1" applyFill="1" applyBorder="1" applyAlignment="1" applyProtection="1">
      <alignment horizontal="center" vertical="center" textRotation="90" shrinkToFit="1"/>
      <protection hidden="1"/>
    </xf>
    <xf numFmtId="0" fontId="38" fillId="27" borderId="12" xfId="37" applyFont="1" applyFill="1" applyBorder="1" applyAlignment="1" applyProtection="1">
      <alignment horizontal="center" vertical="center"/>
      <protection hidden="1"/>
    </xf>
    <xf numFmtId="0" fontId="38" fillId="27" borderId="19" xfId="37" applyFont="1" applyFill="1" applyBorder="1" applyAlignment="1" applyProtection="1">
      <alignment horizontal="center" vertical="center"/>
      <protection hidden="1"/>
    </xf>
    <xf numFmtId="0" fontId="43" fillId="0" borderId="12" xfId="37" applyFont="1" applyBorder="1" applyAlignment="1" applyProtection="1">
      <alignment horizontal="center" vertical="center"/>
      <protection hidden="1"/>
    </xf>
    <xf numFmtId="164" fontId="44" fillId="0" borderId="12" xfId="37" applyNumberFormat="1" applyFont="1" applyBorder="1" applyAlignment="1" applyProtection="1">
      <alignment horizontal="center" vertical="center"/>
      <protection locked="0" hidden="1"/>
    </xf>
    <xf numFmtId="0" fontId="44" fillId="0" borderId="12" xfId="37" applyFont="1" applyBorder="1" applyAlignment="1" applyProtection="1">
      <alignment horizontal="center" vertical="center"/>
      <protection hidden="1"/>
    </xf>
    <xf numFmtId="0" fontId="46" fillId="0" borderId="12" xfId="37" applyFont="1" applyBorder="1" applyAlignment="1" applyProtection="1">
      <alignment horizontal="center" vertical="center"/>
      <protection hidden="1"/>
    </xf>
    <xf numFmtId="0" fontId="46" fillId="0" borderId="12" xfId="37" quotePrefix="1" applyFont="1" applyBorder="1" applyAlignment="1" applyProtection="1">
      <alignment horizontal="center" vertical="center"/>
      <protection locked="0" hidden="1"/>
    </xf>
    <xf numFmtId="0" fontId="46" fillId="0" borderId="12" xfId="37" applyFont="1" applyBorder="1" applyAlignment="1" applyProtection="1">
      <alignment vertical="center"/>
      <protection hidden="1"/>
    </xf>
    <xf numFmtId="164" fontId="49" fillId="27" borderId="19" xfId="33" applyNumberFormat="1" applyFont="1" applyFill="1" applyBorder="1" applyAlignment="1">
      <alignment horizontal="center" vertical="center"/>
    </xf>
    <xf numFmtId="0" fontId="49" fillId="27" borderId="19" xfId="37" applyFont="1" applyFill="1" applyBorder="1" applyAlignment="1" applyProtection="1">
      <alignment horizontal="center" vertical="center"/>
      <protection locked="0" hidden="1"/>
    </xf>
    <xf numFmtId="164" fontId="49" fillId="27" borderId="19" xfId="37" applyNumberFormat="1" applyFont="1" applyFill="1" applyBorder="1" applyAlignment="1" applyProtection="1">
      <alignment horizontal="center" vertical="center"/>
      <protection locked="0" hidden="1"/>
    </xf>
    <xf numFmtId="0" fontId="49" fillId="27" borderId="19" xfId="37" applyFont="1" applyFill="1" applyBorder="1" applyAlignment="1" applyProtection="1">
      <alignment horizontal="center" vertical="center" wrapText="1"/>
      <protection locked="0" hidden="1"/>
    </xf>
    <xf numFmtId="0" fontId="49" fillId="27" borderId="21" xfId="37" applyFont="1" applyFill="1" applyBorder="1" applyAlignment="1" applyProtection="1">
      <alignment horizontal="center" vertical="center"/>
      <protection locked="0" hidden="1"/>
    </xf>
    <xf numFmtId="0" fontId="48" fillId="0" borderId="21" xfId="0" applyFont="1" applyBorder="1" applyAlignment="1">
      <alignment horizontal="center" vertical="center"/>
    </xf>
    <xf numFmtId="2" fontId="49" fillId="0" borderId="12" xfId="37" applyNumberFormat="1" applyFont="1" applyBorder="1" applyAlignment="1" applyProtection="1">
      <alignment horizontal="center" vertical="center"/>
      <protection hidden="1"/>
    </xf>
    <xf numFmtId="2" fontId="49" fillId="0" borderId="12" xfId="37" applyNumberFormat="1" applyFont="1" applyBorder="1" applyAlignment="1" applyProtection="1">
      <alignment horizontal="center" vertical="center"/>
      <protection locked="0" hidden="1"/>
    </xf>
    <xf numFmtId="0" fontId="38" fillId="23" borderId="19" xfId="37" applyFont="1" applyFill="1" applyBorder="1" applyAlignment="1" applyProtection="1">
      <alignment horizontal="center" vertical="center"/>
      <protection hidden="1"/>
    </xf>
    <xf numFmtId="2" fontId="38" fillId="23" borderId="13" xfId="37" applyNumberFormat="1" applyFont="1" applyFill="1" applyBorder="1" applyAlignment="1" applyProtection="1">
      <alignment horizontal="center" vertical="center"/>
      <protection hidden="1"/>
    </xf>
    <xf numFmtId="2" fontId="49" fillId="27" borderId="19" xfId="33" applyNumberFormat="1" applyFont="1" applyFill="1" applyBorder="1" applyAlignment="1">
      <alignment horizontal="center" vertical="center"/>
    </xf>
    <xf numFmtId="2" fontId="49" fillId="27" borderId="19" xfId="37" applyNumberFormat="1" applyFont="1" applyFill="1" applyBorder="1" applyAlignment="1" applyProtection="1">
      <alignment horizontal="center" vertical="center"/>
      <protection locked="0" hidden="1"/>
    </xf>
    <xf numFmtId="2" fontId="49" fillId="27" borderId="19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7" borderId="21" xfId="37" applyNumberFormat="1" applyFont="1" applyFill="1" applyBorder="1" applyAlignment="1" applyProtection="1">
      <alignment horizontal="center" vertical="center"/>
      <protection locked="0" hidden="1"/>
    </xf>
    <xf numFmtId="0" fontId="48" fillId="0" borderId="21" xfId="0" applyFont="1" applyBorder="1" applyAlignment="1">
      <alignment horizontal="center" vertical="center" wrapText="1"/>
    </xf>
    <xf numFmtId="164" fontId="38" fillId="23" borderId="20" xfId="37" applyNumberFormat="1" applyFont="1" applyFill="1" applyBorder="1" applyAlignment="1" applyProtection="1">
      <alignment horizontal="center" vertical="center"/>
      <protection hidden="1"/>
    </xf>
    <xf numFmtId="0" fontId="38" fillId="23" borderId="10" xfId="37" applyFont="1" applyFill="1" applyBorder="1" applyAlignment="1" applyProtection="1">
      <alignment horizontal="center" vertical="center"/>
      <protection hidden="1"/>
    </xf>
    <xf numFmtId="164" fontId="38" fillId="23" borderId="13" xfId="37" applyNumberFormat="1" applyFont="1" applyFill="1" applyBorder="1" applyAlignment="1" applyProtection="1">
      <alignment horizontal="center" vertical="center"/>
      <protection hidden="1"/>
    </xf>
    <xf numFmtId="0" fontId="34" fillId="23" borderId="24" xfId="0" applyFont="1" applyFill="1" applyBorder="1" applyAlignment="1" applyProtection="1">
      <alignment vertical="center" textRotation="90" shrinkToFit="1"/>
      <protection hidden="1"/>
    </xf>
    <xf numFmtId="14" fontId="0" fillId="0" borderId="0" xfId="0" applyNumberFormat="1"/>
    <xf numFmtId="0" fontId="50" fillId="0" borderId="19" xfId="46" applyFont="1" applyBorder="1" applyAlignment="1">
      <alignment horizontal="center" vertical="center" wrapText="1"/>
    </xf>
    <xf numFmtId="0" fontId="50" fillId="0" borderId="21" xfId="46" applyFont="1" applyBorder="1" applyAlignment="1">
      <alignment horizontal="center" vertical="center" wrapText="1"/>
    </xf>
    <xf numFmtId="0" fontId="42" fillId="0" borderId="19" xfId="46" applyFont="1" applyBorder="1" applyAlignment="1">
      <alignment horizontal="center" vertical="center" wrapText="1"/>
    </xf>
    <xf numFmtId="0" fontId="13" fillId="0" borderId="20" xfId="46" applyFont="1" applyBorder="1" applyAlignment="1">
      <alignment horizontal="center" vertical="center"/>
    </xf>
    <xf numFmtId="0" fontId="13" fillId="0" borderId="19" xfId="46" applyFont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 hidden="1"/>
    </xf>
    <xf numFmtId="0" fontId="0" fillId="0" borderId="14" xfId="0" applyBorder="1" applyAlignment="1" applyProtection="1">
      <alignment horizontal="left" vertical="center"/>
      <protection locked="0" hidden="1"/>
    </xf>
    <xf numFmtId="0" fontId="11" fillId="0" borderId="18" xfId="0" applyFont="1" applyBorder="1" applyAlignment="1" applyProtection="1">
      <alignment horizontal="left" vertical="center"/>
      <protection locked="0" hidden="1"/>
    </xf>
    <xf numFmtId="0" fontId="11" fillId="0" borderId="0" xfId="0" applyFont="1" applyAlignment="1" applyProtection="1">
      <alignment horizontal="left" vertical="center"/>
      <protection locked="0" hidden="1"/>
    </xf>
    <xf numFmtId="0" fontId="0" fillId="0" borderId="14" xfId="0" quotePrefix="1" applyBorder="1" applyAlignment="1" applyProtection="1">
      <alignment horizontal="center" vertical="center"/>
      <protection locked="0" hidden="1"/>
    </xf>
    <xf numFmtId="0" fontId="11" fillId="0" borderId="18" xfId="0" applyFont="1" applyBorder="1" applyAlignment="1" applyProtection="1">
      <alignment horizontal="center" vertical="center"/>
      <protection locked="0" hidden="1"/>
    </xf>
    <xf numFmtId="0" fontId="11" fillId="0" borderId="0" xfId="0" applyFont="1" applyAlignment="1" applyProtection="1">
      <alignment horizontal="center" vertical="center"/>
      <protection locked="0" hidden="1"/>
    </xf>
    <xf numFmtId="0" fontId="6" fillId="0" borderId="0" xfId="0" applyFont="1" applyAlignment="1" applyProtection="1">
      <alignment horizontal="left" vertical="center"/>
      <protection locked="0" hidden="1"/>
    </xf>
    <xf numFmtId="0" fontId="0" fillId="0" borderId="0" xfId="0" quotePrefix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 wrapText="1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39" fillId="0" borderId="18" xfId="0" applyFont="1" applyBorder="1" applyAlignment="1" applyProtection="1">
      <alignment horizontal="center" vertical="center"/>
      <protection locked="0" hidden="1"/>
    </xf>
    <xf numFmtId="0" fontId="39" fillId="0" borderId="0" xfId="0" applyFont="1" applyAlignment="1" applyProtection="1">
      <alignment horizontal="center" vertical="center"/>
      <protection locked="0" hidden="1"/>
    </xf>
    <xf numFmtId="0" fontId="39" fillId="0" borderId="14" xfId="0" applyFont="1" applyBorder="1" applyAlignment="1" applyProtection="1">
      <alignment horizontal="center" vertical="center"/>
      <protection locked="0" hidden="1"/>
    </xf>
    <xf numFmtId="0" fontId="40" fillId="0" borderId="13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2" fontId="49" fillId="0" borderId="12" xfId="37" applyNumberFormat="1" applyFont="1" applyBorder="1" applyAlignment="1" applyProtection="1">
      <alignment horizontal="center" vertical="center" wrapText="1"/>
      <protection locked="0" hidden="1"/>
    </xf>
    <xf numFmtId="0" fontId="45" fillId="0" borderId="20" xfId="0" applyFont="1" applyBorder="1" applyAlignment="1">
      <alignment horizontal="left" vertical="center" wrapText="1"/>
    </xf>
    <xf numFmtId="0" fontId="45" fillId="0" borderId="21" xfId="0" applyFont="1" applyBorder="1" applyAlignment="1">
      <alignment horizontal="left" vertical="center" wrapText="1"/>
    </xf>
    <xf numFmtId="0" fontId="45" fillId="0" borderId="20" xfId="0" applyFont="1" applyBorder="1" applyAlignment="1">
      <alignment horizontal="left" vertical="center"/>
    </xf>
    <xf numFmtId="0" fontId="45" fillId="0" borderId="21" xfId="0" applyFont="1" applyBorder="1" applyAlignment="1">
      <alignment horizontal="left" vertical="center"/>
    </xf>
    <xf numFmtId="0" fontId="38" fillId="27" borderId="20" xfId="37" applyFont="1" applyFill="1" applyBorder="1" applyAlignment="1" applyProtection="1">
      <alignment horizontal="center" vertical="center"/>
      <protection hidden="1"/>
    </xf>
    <xf numFmtId="0" fontId="38" fillId="27" borderId="19" xfId="37" applyFont="1" applyFill="1" applyBorder="1" applyAlignment="1" applyProtection="1">
      <alignment horizontal="center" vertical="center"/>
      <protection hidden="1"/>
    </xf>
    <xf numFmtId="0" fontId="38" fillId="23" borderId="20" xfId="37" applyFont="1" applyFill="1" applyBorder="1" applyAlignment="1" applyProtection="1">
      <alignment horizontal="center" vertical="center"/>
      <protection hidden="1"/>
    </xf>
    <xf numFmtId="0" fontId="38" fillId="23" borderId="19" xfId="37" applyFont="1" applyFill="1" applyBorder="1" applyAlignment="1" applyProtection="1">
      <alignment horizontal="center" vertical="center"/>
      <protection hidden="1"/>
    </xf>
    <xf numFmtId="0" fontId="38" fillId="23" borderId="21" xfId="37" applyFont="1" applyFill="1" applyBorder="1" applyAlignment="1" applyProtection="1">
      <alignment horizontal="center" vertical="center"/>
      <protection hidden="1"/>
    </xf>
    <xf numFmtId="0" fontId="34" fillId="23" borderId="22" xfId="0" applyFont="1" applyFill="1" applyBorder="1" applyAlignment="1" applyProtection="1">
      <alignment horizontal="center" vertical="center" textRotation="90" shrinkToFit="1"/>
      <protection hidden="1"/>
    </xf>
    <xf numFmtId="0" fontId="34" fillId="23" borderId="23" xfId="0" applyFont="1" applyFill="1" applyBorder="1" applyAlignment="1" applyProtection="1">
      <alignment horizontal="center" vertical="center" textRotation="90" shrinkToFit="1"/>
      <protection hidden="1"/>
    </xf>
    <xf numFmtId="0" fontId="34" fillId="23" borderId="24" xfId="0" applyFont="1" applyFill="1" applyBorder="1" applyAlignment="1" applyProtection="1">
      <alignment horizontal="center" vertical="center" textRotation="90" shrinkToFit="1"/>
      <protection hidden="1"/>
    </xf>
    <xf numFmtId="0" fontId="34" fillId="23" borderId="22" xfId="0" applyFont="1" applyFill="1" applyBorder="1" applyAlignment="1" applyProtection="1">
      <alignment horizontal="center" vertical="center" textRotation="90" wrapText="1" shrinkToFit="1"/>
      <protection hidden="1"/>
    </xf>
    <xf numFmtId="0" fontId="34" fillId="23" borderId="23" xfId="0" applyFont="1" applyFill="1" applyBorder="1" applyAlignment="1" applyProtection="1">
      <alignment horizontal="center" vertical="center" textRotation="90" wrapText="1" shrinkToFit="1"/>
      <protection hidden="1"/>
    </xf>
    <xf numFmtId="2" fontId="49" fillId="0" borderId="13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10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11" xfId="37" applyNumberFormat="1" applyFont="1" applyBorder="1" applyAlignment="1" applyProtection="1">
      <alignment horizontal="center" vertical="center" wrapText="1"/>
      <protection locked="0" hidden="1"/>
    </xf>
    <xf numFmtId="2" fontId="49" fillId="0" borderId="12" xfId="37" applyNumberFormat="1" applyFont="1" applyBorder="1" applyAlignment="1" applyProtection="1">
      <alignment horizontal="center" vertical="center"/>
      <protection locked="0" hidden="1"/>
    </xf>
    <xf numFmtId="2" fontId="49" fillId="0" borderId="20" xfId="37" applyNumberFormat="1" applyFont="1" applyBorder="1" applyAlignment="1" applyProtection="1">
      <alignment horizontal="center" vertical="center" wrapText="1"/>
      <protection hidden="1"/>
    </xf>
    <xf numFmtId="2" fontId="49" fillId="0" borderId="19" xfId="37" applyNumberFormat="1" applyFont="1" applyBorder="1" applyAlignment="1" applyProtection="1">
      <alignment horizontal="center" vertical="center" wrapText="1"/>
      <protection hidden="1"/>
    </xf>
    <xf numFmtId="2" fontId="49" fillId="0" borderId="21" xfId="37" applyNumberFormat="1" applyFont="1" applyBorder="1" applyAlignment="1" applyProtection="1">
      <alignment horizontal="center" vertical="center" wrapText="1"/>
      <protection hidden="1"/>
    </xf>
    <xf numFmtId="2" fontId="49" fillId="0" borderId="12" xfId="37" applyNumberFormat="1" applyFont="1" applyBorder="1" applyAlignment="1" applyProtection="1">
      <alignment horizontal="center" vertical="center" wrapText="1"/>
      <protection hidden="1"/>
    </xf>
    <xf numFmtId="2" fontId="49" fillId="0" borderId="12" xfId="37" applyNumberFormat="1" applyFont="1" applyBorder="1" applyAlignment="1" applyProtection="1">
      <alignment horizontal="center" vertical="center"/>
      <protection hidden="1"/>
    </xf>
    <xf numFmtId="0" fontId="46" fillId="0" borderId="20" xfId="37" applyFont="1" applyBorder="1" applyAlignment="1" applyProtection="1">
      <alignment horizontal="center" vertical="center"/>
      <protection hidden="1"/>
    </xf>
    <xf numFmtId="0" fontId="46" fillId="0" borderId="19" xfId="37" applyFont="1" applyBorder="1" applyAlignment="1" applyProtection="1">
      <alignment horizontal="center" vertical="center"/>
      <protection hidden="1"/>
    </xf>
    <xf numFmtId="0" fontId="46" fillId="0" borderId="21" xfId="37" applyFont="1" applyBorder="1" applyAlignment="1" applyProtection="1">
      <alignment horizontal="center" vertical="center"/>
      <protection hidden="1"/>
    </xf>
    <xf numFmtId="14" fontId="46" fillId="0" borderId="20" xfId="37" applyNumberFormat="1" applyFont="1" applyBorder="1" applyAlignment="1" applyProtection="1">
      <alignment horizontal="center" vertical="center"/>
      <protection hidden="1"/>
    </xf>
    <xf numFmtId="0" fontId="51" fillId="28" borderId="20" xfId="37" applyFont="1" applyFill="1" applyBorder="1" applyAlignment="1" applyProtection="1">
      <alignment horizontal="center" vertical="center"/>
      <protection hidden="1"/>
    </xf>
    <xf numFmtId="0" fontId="51" fillId="28" borderId="19" xfId="37" applyFont="1" applyFill="1" applyBorder="1" applyAlignment="1" applyProtection="1">
      <alignment horizontal="center" vertical="center"/>
      <protection hidden="1"/>
    </xf>
    <xf numFmtId="0" fontId="51" fillId="28" borderId="21" xfId="37" applyFont="1" applyFill="1" applyBorder="1" applyAlignment="1" applyProtection="1">
      <alignment horizontal="center" vertical="center"/>
      <protection hidden="1"/>
    </xf>
    <xf numFmtId="2" fontId="38" fillId="23" borderId="20" xfId="37" applyNumberFormat="1" applyFont="1" applyFill="1" applyBorder="1" applyAlignment="1" applyProtection="1">
      <alignment horizontal="center" vertical="center"/>
      <protection hidden="1"/>
    </xf>
    <xf numFmtId="2" fontId="38" fillId="23" borderId="19" xfId="37" applyNumberFormat="1" applyFont="1" applyFill="1" applyBorder="1" applyAlignment="1" applyProtection="1">
      <alignment horizontal="center" vertical="center"/>
      <protection hidden="1"/>
    </xf>
    <xf numFmtId="2" fontId="38" fillId="23" borderId="21" xfId="37" applyNumberFormat="1" applyFont="1" applyFill="1" applyBorder="1" applyAlignment="1" applyProtection="1">
      <alignment horizontal="center" vertical="center"/>
      <protection hidden="1"/>
    </xf>
    <xf numFmtId="164" fontId="46" fillId="0" borderId="20" xfId="37" applyNumberFormat="1" applyFont="1" applyBorder="1" applyAlignment="1" applyProtection="1">
      <alignment horizontal="center" vertical="center"/>
      <protection locked="0" hidden="1"/>
    </xf>
    <xf numFmtId="0" fontId="45" fillId="0" borderId="21" xfId="0" applyFont="1" applyBorder="1"/>
    <xf numFmtId="0" fontId="46" fillId="0" borderId="12" xfId="37" applyFont="1" applyBorder="1" applyAlignment="1" applyProtection="1">
      <alignment horizontal="center" vertical="center"/>
      <protection locked="0" hidden="1"/>
    </xf>
    <xf numFmtId="0" fontId="46" fillId="0" borderId="20" xfId="37" applyFont="1" applyBorder="1" applyAlignment="1" applyProtection="1">
      <alignment horizontal="center" vertical="center"/>
      <protection locked="0" hidden="1"/>
    </xf>
    <xf numFmtId="0" fontId="46" fillId="0" borderId="19" xfId="37" applyFont="1" applyBorder="1" applyAlignment="1" applyProtection="1">
      <alignment horizontal="center" vertical="center"/>
      <protection locked="0" hidden="1"/>
    </xf>
    <xf numFmtId="0" fontId="46" fillId="0" borderId="21" xfId="37" applyFont="1" applyBorder="1" applyAlignment="1" applyProtection="1">
      <alignment horizontal="center" vertical="center"/>
      <protection locked="0" hidden="1"/>
    </xf>
    <xf numFmtId="164" fontId="46" fillId="0" borderId="12" xfId="37" quotePrefix="1" applyNumberFormat="1" applyFont="1" applyBorder="1" applyAlignment="1" applyProtection="1">
      <alignment horizontal="center" vertical="center"/>
      <protection locked="0" hidden="1"/>
    </xf>
    <xf numFmtId="164" fontId="45" fillId="0" borderId="12" xfId="0" applyNumberFormat="1" applyFont="1" applyBorder="1" applyAlignment="1" applyProtection="1">
      <alignment horizontal="center"/>
      <protection locked="0" hidden="1"/>
    </xf>
    <xf numFmtId="0" fontId="15" fillId="0" borderId="12" xfId="0" applyFont="1" applyBorder="1" applyAlignment="1" applyProtection="1">
      <alignment horizontal="right"/>
      <protection hidden="1"/>
    </xf>
    <xf numFmtId="0" fontId="41" fillId="0" borderId="12" xfId="0" applyFont="1" applyBorder="1" applyAlignment="1" applyProtection="1">
      <alignment horizontal="right" vertical="center" wrapText="1"/>
      <protection hidden="1"/>
    </xf>
    <xf numFmtId="0" fontId="41" fillId="0" borderId="12" xfId="0" applyFont="1" applyBorder="1" applyAlignment="1" applyProtection="1">
      <alignment horizontal="right" vertical="center"/>
      <protection hidden="1"/>
    </xf>
    <xf numFmtId="0" fontId="14" fillId="23" borderId="12" xfId="0" applyFont="1" applyFill="1" applyBorder="1" applyAlignment="1" applyProtection="1">
      <alignment horizontal="center" vertical="center" textRotation="90" shrinkToFit="1"/>
      <protection hidden="1"/>
    </xf>
    <xf numFmtId="0" fontId="44" fillId="0" borderId="20" xfId="37" applyFont="1" applyBorder="1" applyAlignment="1" applyProtection="1">
      <alignment horizontal="center" vertical="center"/>
      <protection hidden="1"/>
    </xf>
    <xf numFmtId="0" fontId="44" fillId="0" borderId="21" xfId="37" applyFont="1" applyBorder="1" applyAlignment="1" applyProtection="1">
      <alignment horizontal="center" vertical="center"/>
      <protection hidden="1"/>
    </xf>
    <xf numFmtId="0" fontId="44" fillId="0" borderId="12" xfId="37" applyFont="1" applyBorder="1" applyAlignment="1" applyProtection="1">
      <alignment horizontal="center" vertical="center"/>
      <protection locked="0" hidden="1"/>
    </xf>
    <xf numFmtId="0" fontId="44" fillId="0" borderId="12" xfId="37" applyFont="1" applyBorder="1" applyAlignment="1" applyProtection="1">
      <alignment horizontal="center" vertical="center"/>
      <protection hidden="1"/>
    </xf>
    <xf numFmtId="0" fontId="47" fillId="0" borderId="12" xfId="37" applyFont="1" applyBorder="1" applyAlignment="1" applyProtection="1">
      <alignment horizontal="center" vertical="center"/>
      <protection locked="0" hidden="1"/>
    </xf>
    <xf numFmtId="0" fontId="46" fillId="0" borderId="12" xfId="37" quotePrefix="1" applyFont="1" applyBorder="1" applyAlignment="1" applyProtection="1">
      <alignment horizontal="center" vertical="center"/>
      <protection locked="0" hidden="1"/>
    </xf>
    <xf numFmtId="0" fontId="47" fillId="23" borderId="12" xfId="37" applyFont="1" applyFill="1" applyBorder="1" applyAlignment="1" applyProtection="1">
      <alignment horizontal="center" vertical="center"/>
      <protection hidden="1"/>
    </xf>
    <xf numFmtId="0" fontId="47" fillId="0" borderId="20" xfId="37" applyFont="1" applyBorder="1" applyAlignment="1" applyProtection="1">
      <alignment horizontal="center" vertical="center"/>
      <protection locked="0" hidden="1"/>
    </xf>
    <xf numFmtId="0" fontId="48" fillId="0" borderId="19" xfId="0" applyFont="1" applyBorder="1"/>
    <xf numFmtId="0" fontId="48" fillId="0" borderId="21" xfId="0" applyFont="1" applyBorder="1"/>
    <xf numFmtId="14" fontId="44" fillId="0" borderId="20" xfId="37" applyNumberFormat="1" applyFont="1" applyBorder="1" applyAlignment="1" applyProtection="1">
      <alignment horizontal="center" vertical="center"/>
      <protection locked="0" hidden="1"/>
    </xf>
    <xf numFmtId="14" fontId="44" fillId="0" borderId="21" xfId="37" applyNumberFormat="1" applyFont="1" applyBorder="1" applyAlignment="1" applyProtection="1">
      <alignment horizontal="center" vertical="center"/>
      <protection locked="0" hidden="1"/>
    </xf>
    <xf numFmtId="0" fontId="47" fillId="0" borderId="21" xfId="37" applyFont="1" applyBorder="1" applyAlignment="1" applyProtection="1">
      <alignment horizontal="center" vertical="center"/>
      <protection locked="0" hidden="1"/>
    </xf>
    <xf numFmtId="0" fontId="44" fillId="0" borderId="20" xfId="37" applyFont="1" applyBorder="1" applyAlignment="1" applyProtection="1">
      <alignment horizontal="center" vertical="center"/>
      <protection locked="0" hidden="1"/>
    </xf>
    <xf numFmtId="0" fontId="44" fillId="0" borderId="19" xfId="37" applyFont="1" applyBorder="1" applyAlignment="1" applyProtection="1">
      <alignment horizontal="center" vertical="center"/>
      <protection locked="0" hidden="1"/>
    </xf>
    <xf numFmtId="0" fontId="44" fillId="0" borderId="21" xfId="37" applyFont="1" applyBorder="1" applyAlignment="1" applyProtection="1">
      <alignment horizontal="center" vertical="center"/>
      <protection locked="0" hidden="1"/>
    </xf>
    <xf numFmtId="0" fontId="44" fillId="0" borderId="20" xfId="37" applyFont="1" applyBorder="1" applyAlignment="1" applyProtection="1">
      <alignment horizontal="center" vertical="center" wrapText="1"/>
      <protection hidden="1"/>
    </xf>
    <xf numFmtId="0" fontId="44" fillId="0" borderId="21" xfId="37" applyFont="1" applyBorder="1" applyAlignment="1" applyProtection="1">
      <alignment horizontal="center" vertical="center" wrapText="1"/>
      <protection hidden="1"/>
    </xf>
    <xf numFmtId="0" fontId="46" fillId="23" borderId="20" xfId="37" applyFont="1" applyFill="1" applyBorder="1" applyAlignment="1" applyProtection="1">
      <alignment horizontal="center" vertical="center"/>
      <protection hidden="1"/>
    </xf>
    <xf numFmtId="0" fontId="46" fillId="23" borderId="19" xfId="37" applyFont="1" applyFill="1" applyBorder="1" applyAlignment="1" applyProtection="1">
      <alignment horizontal="center" vertical="center"/>
      <protection hidden="1"/>
    </xf>
    <xf numFmtId="0" fontId="46" fillId="23" borderId="21" xfId="37" applyFont="1" applyFill="1" applyBorder="1" applyAlignment="1" applyProtection="1">
      <alignment horizontal="center" vertical="center"/>
      <protection hidden="1"/>
    </xf>
    <xf numFmtId="164" fontId="44" fillId="0" borderId="20" xfId="37" applyNumberFormat="1" applyFont="1" applyBorder="1" applyAlignment="1" applyProtection="1">
      <alignment horizontal="center" vertical="center"/>
      <protection locked="0" hidden="1"/>
    </xf>
    <xf numFmtId="164" fontId="44" fillId="0" borderId="21" xfId="37" applyNumberFormat="1" applyFont="1" applyBorder="1" applyAlignment="1" applyProtection="1">
      <alignment horizontal="center" vertical="center"/>
      <protection locked="0" hidden="1"/>
    </xf>
    <xf numFmtId="0" fontId="45" fillId="0" borderId="19" xfId="0" applyFont="1" applyBorder="1"/>
    <xf numFmtId="0" fontId="44" fillId="0" borderId="20" xfId="37" applyFont="1" applyBorder="1" applyAlignment="1" applyProtection="1">
      <alignment horizontal="center" vertical="center" wrapText="1"/>
      <protection locked="0" hidden="1"/>
    </xf>
    <xf numFmtId="0" fontId="44" fillId="0" borderId="21" xfId="37" applyFont="1" applyBorder="1" applyAlignment="1" applyProtection="1">
      <alignment horizontal="center" vertical="center" wrapText="1"/>
      <protection locked="0" hidden="1"/>
    </xf>
    <xf numFmtId="0" fontId="44" fillId="0" borderId="20" xfId="37" applyFont="1" applyBorder="1" applyAlignment="1">
      <alignment horizontal="center" vertical="center"/>
    </xf>
    <xf numFmtId="0" fontId="44" fillId="0" borderId="21" xfId="37" applyFont="1" applyBorder="1" applyAlignment="1">
      <alignment horizontal="center" vertical="center"/>
    </xf>
    <xf numFmtId="0" fontId="46" fillId="0" borderId="20" xfId="37" quotePrefix="1" applyFont="1" applyBorder="1" applyAlignment="1" applyProtection="1">
      <alignment horizontal="center" vertical="center"/>
      <protection locked="0" hidden="1"/>
    </xf>
    <xf numFmtId="0" fontId="38" fillId="27" borderId="12" xfId="37" applyFont="1" applyFill="1" applyBorder="1" applyAlignment="1" applyProtection="1">
      <alignment horizontal="center" vertical="center"/>
      <protection hidden="1"/>
    </xf>
    <xf numFmtId="0" fontId="36" fillId="0" borderId="20" xfId="37" applyFont="1" applyBorder="1" applyAlignment="1" applyProtection="1">
      <alignment horizontal="center" vertical="center" wrapText="1"/>
      <protection locked="0" hidden="1"/>
    </xf>
    <xf numFmtId="0" fontId="36" fillId="0" borderId="19" xfId="37" applyFont="1" applyBorder="1" applyAlignment="1" applyProtection="1">
      <alignment horizontal="center" vertical="center" wrapText="1"/>
      <protection locked="0" hidden="1"/>
    </xf>
    <xf numFmtId="0" fontId="36" fillId="0" borderId="21" xfId="37" applyFont="1" applyBorder="1" applyAlignment="1" applyProtection="1">
      <alignment horizontal="center" vertical="center" wrapText="1"/>
      <protection locked="0" hidden="1"/>
    </xf>
    <xf numFmtId="0" fontId="35" fillId="0" borderId="20" xfId="37" applyFont="1" applyBorder="1" applyAlignment="1" applyProtection="1">
      <alignment horizontal="center" vertical="center" wrapText="1"/>
      <protection locked="0" hidden="1"/>
    </xf>
    <xf numFmtId="0" fontId="35" fillId="0" borderId="19" xfId="37" applyFont="1" applyBorder="1" applyAlignment="1" applyProtection="1">
      <alignment horizontal="center" vertical="center" wrapText="1"/>
      <protection locked="0" hidden="1"/>
    </xf>
    <xf numFmtId="0" fontId="35" fillId="0" borderId="21" xfId="37" applyFont="1" applyBorder="1" applyAlignment="1" applyProtection="1">
      <alignment horizontal="center" vertical="center" wrapText="1"/>
      <protection locked="0" hidden="1"/>
    </xf>
    <xf numFmtId="0" fontId="38" fillId="23" borderId="13" xfId="37" applyFont="1" applyFill="1" applyBorder="1" applyAlignment="1" applyProtection="1">
      <alignment horizontal="center" vertical="center"/>
      <protection hidden="1"/>
    </xf>
    <xf numFmtId="0" fontId="38" fillId="23" borderId="11" xfId="37" applyFont="1" applyFill="1" applyBorder="1" applyAlignment="1" applyProtection="1">
      <alignment horizontal="center" vertical="center"/>
      <protection hidden="1"/>
    </xf>
    <xf numFmtId="0" fontId="38" fillId="23" borderId="10" xfId="37" applyFont="1" applyFill="1" applyBorder="1" applyAlignment="1" applyProtection="1">
      <alignment horizontal="center" vertical="center"/>
      <protection hidden="1"/>
    </xf>
    <xf numFmtId="0" fontId="35" fillId="28" borderId="20" xfId="37" applyFont="1" applyFill="1" applyBorder="1" applyAlignment="1" applyProtection="1">
      <alignment horizontal="center" vertical="center" wrapText="1"/>
      <protection locked="0" hidden="1"/>
    </xf>
    <xf numFmtId="0" fontId="35" fillId="28" borderId="19" xfId="37" applyFont="1" applyFill="1" applyBorder="1" applyAlignment="1" applyProtection="1">
      <alignment horizontal="center" vertical="center" wrapText="1"/>
      <protection locked="0" hidden="1"/>
    </xf>
    <xf numFmtId="0" fontId="35" fillId="28" borderId="21" xfId="37" applyFont="1" applyFill="1" applyBorder="1" applyAlignment="1" applyProtection="1">
      <alignment horizontal="center" vertical="center" wrapText="1"/>
      <protection locked="0" hidden="1"/>
    </xf>
    <xf numFmtId="0" fontId="16" fillId="24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2" fillId="0" borderId="18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25" borderId="0" xfId="0" applyFont="1" applyFill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49" fontId="37" fillId="29" borderId="0" xfId="0" applyNumberFormat="1" applyFont="1" applyFill="1" applyAlignment="1" applyProtection="1">
      <alignment horizontal="left" vertical="center"/>
      <protection locked="0" hidden="1"/>
    </xf>
    <xf numFmtId="14" fontId="0" fillId="29" borderId="0" xfId="0" applyNumberFormat="1" applyFill="1" applyAlignment="1" applyProtection="1">
      <alignment horizontal="left" vertical="center"/>
      <protection locked="0" hidden="1"/>
    </xf>
    <xf numFmtId="0" fontId="0" fillId="29" borderId="0" xfId="0" applyFill="1" applyAlignment="1" applyProtection="1">
      <alignment horizontal="left" vertical="center"/>
      <protection locked="0" hidden="1"/>
    </xf>
    <xf numFmtId="14" fontId="0" fillId="29" borderId="14" xfId="0" applyNumberFormat="1" applyFill="1" applyBorder="1" applyAlignment="1" applyProtection="1">
      <alignment horizontal="left" vertical="center"/>
      <protection locked="0" hidden="1"/>
    </xf>
    <xf numFmtId="0" fontId="0" fillId="29" borderId="0" xfId="0" applyFill="1" applyProtection="1">
      <protection locked="0" hidden="1"/>
    </xf>
    <xf numFmtId="0" fontId="0" fillId="29" borderId="14" xfId="0" applyFill="1" applyBorder="1" applyProtection="1">
      <protection locked="0" hidden="1"/>
    </xf>
    <xf numFmtId="14" fontId="0" fillId="29" borderId="14" xfId="0" applyNumberFormat="1" applyFill="1" applyBorder="1" applyAlignment="1" applyProtection="1">
      <alignment horizontal="center" vertical="center"/>
      <protection locked="0" hidden="1"/>
    </xf>
    <xf numFmtId="0" fontId="0" fillId="29" borderId="0" xfId="0" applyFill="1" applyAlignment="1" applyProtection="1">
      <alignment horizontal="center" vertical="center"/>
      <protection locked="0" hidden="1"/>
    </xf>
    <xf numFmtId="0" fontId="0" fillId="29" borderId="0" xfId="0" applyFill="1" applyAlignment="1" applyProtection="1">
      <alignment horizontal="center" vertical="center" wrapText="1"/>
      <protection locked="0" hidden="1"/>
    </xf>
    <xf numFmtId="0" fontId="0" fillId="29" borderId="0" xfId="0" quotePrefix="1" applyFill="1" applyAlignment="1" applyProtection="1">
      <alignment horizontal="center" vertical="center"/>
      <protection locked="0" hidden="1"/>
    </xf>
    <xf numFmtId="0" fontId="0" fillId="29" borderId="14" xfId="0" quotePrefix="1" applyFill="1" applyBorder="1" applyAlignment="1" applyProtection="1">
      <alignment horizontal="center" vertical="center"/>
      <protection locked="0" hidden="1"/>
    </xf>
    <xf numFmtId="0" fontId="0" fillId="29" borderId="14" xfId="0" applyFill="1" applyBorder="1" applyAlignment="1" applyProtection="1">
      <alignment horizontal="left" vertical="center"/>
      <protection locked="0" hidden="1"/>
    </xf>
    <xf numFmtId="0" fontId="0" fillId="29" borderId="0" xfId="0" applyFill="1" applyAlignment="1" applyProtection="1">
      <alignment horizontal="left" vertical="center" wrapText="1"/>
      <protection locked="0" hidden="1"/>
    </xf>
    <xf numFmtId="0" fontId="0" fillId="29" borderId="14" xfId="0" applyFill="1" applyBorder="1" applyAlignment="1" applyProtection="1">
      <alignment horizontal="left" vertical="center" wrapText="1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/>
      <protection hidden="1"/>
    </xf>
    <xf numFmtId="2" fontId="49" fillId="29" borderId="12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12" xfId="37" applyNumberFormat="1" applyFont="1" applyFill="1" applyBorder="1" applyAlignment="1" applyProtection="1">
      <alignment horizontal="center" vertical="center"/>
      <protection hidden="1"/>
    </xf>
    <xf numFmtId="2" fontId="49" fillId="29" borderId="20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19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21" xfId="37" applyNumberFormat="1" applyFont="1" applyFill="1" applyBorder="1" applyAlignment="1" applyProtection="1">
      <alignment horizontal="center" vertical="center" wrapText="1"/>
      <protection hidden="1"/>
    </xf>
    <xf numFmtId="2" fontId="49" fillId="29" borderId="12" xfId="37" applyNumberFormat="1" applyFont="1" applyFill="1" applyBorder="1" applyAlignment="1" applyProtection="1">
      <alignment horizontal="center" vertical="center"/>
      <protection locked="0" hidden="1"/>
    </xf>
    <xf numFmtId="2" fontId="49" fillId="29" borderId="13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0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1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 wrapText="1"/>
      <protection locked="0" hidden="1"/>
    </xf>
    <xf numFmtId="2" fontId="49" fillId="29" borderId="12" xfId="37" applyNumberFormat="1" applyFont="1" applyFill="1" applyBorder="1" applyAlignment="1" applyProtection="1">
      <alignment horizontal="center" vertical="center"/>
      <protection locked="0" hidden="1"/>
    </xf>
    <xf numFmtId="0" fontId="35" fillId="29" borderId="20" xfId="37" applyFont="1" applyFill="1" applyBorder="1" applyAlignment="1" applyProtection="1">
      <alignment horizontal="center" vertical="center" wrapText="1"/>
      <protection locked="0" hidden="1"/>
    </xf>
    <xf numFmtId="0" fontId="35" fillId="29" borderId="19" xfId="37" applyFont="1" applyFill="1" applyBorder="1" applyAlignment="1" applyProtection="1">
      <alignment horizontal="center" vertical="center" wrapText="1"/>
      <protection locked="0" hidden="1"/>
    </xf>
    <xf numFmtId="0" fontId="35" fillId="29" borderId="21" xfId="37" applyFont="1" applyFill="1" applyBorder="1" applyAlignment="1" applyProtection="1">
      <alignment horizontal="center" vertical="center" wrapText="1"/>
      <protection locked="0" hidden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Eingabe" xfId="27" xr:uid="{00000000-0005-0000-0000-00001A000000}"/>
    <cellStyle name="Ergebnis" xfId="28" xr:uid="{00000000-0005-0000-0000-00001B000000}"/>
    <cellStyle name="Erklärender Text" xfId="29" xr:uid="{00000000-0005-0000-0000-00001C000000}"/>
    <cellStyle name="Gut" xfId="30" xr:uid="{00000000-0005-0000-0000-00001D000000}"/>
    <cellStyle name="Normal" xfId="0" builtinId="0"/>
    <cellStyle name="Normal 2" xfId="31" xr:uid="{00000000-0005-0000-0000-00001F000000}"/>
    <cellStyle name="Normal 3" xfId="32" xr:uid="{00000000-0005-0000-0000-000020000000}"/>
    <cellStyle name="Normal 4" xfId="33" xr:uid="{00000000-0005-0000-0000-000021000000}"/>
    <cellStyle name="Normal_PANNNJJ4.XLS (2)" xfId="34" xr:uid="{00000000-0005-0000-0000-000022000000}"/>
    <cellStyle name="Normal_R&amp;H_Blank" xfId="46" xr:uid="{00000000-0005-0000-0000-000023000000}"/>
    <cellStyle name="Notiz" xfId="35" xr:uid="{00000000-0005-0000-0000-000024000000}"/>
    <cellStyle name="Schlecht" xfId="36" xr:uid="{00000000-0005-0000-0000-000025000000}"/>
    <cellStyle name="Standard 5" xfId="37" xr:uid="{00000000-0005-0000-0000-000026000000}"/>
    <cellStyle name="Überschrift" xfId="38" xr:uid="{00000000-0005-0000-0000-000027000000}"/>
    <cellStyle name="Überschrift 1" xfId="39" xr:uid="{00000000-0005-0000-0000-000028000000}"/>
    <cellStyle name="Überschrift 2" xfId="40" xr:uid="{00000000-0005-0000-0000-000029000000}"/>
    <cellStyle name="Überschrift 3" xfId="41" xr:uid="{00000000-0005-0000-0000-00002A000000}"/>
    <cellStyle name="Überschrift 4" xfId="42" xr:uid="{00000000-0005-0000-0000-00002B000000}"/>
    <cellStyle name="Verknüpfte Zelle" xfId="43" xr:uid="{00000000-0005-0000-0000-00002C000000}"/>
    <cellStyle name="Warnender Text" xfId="44" xr:uid="{00000000-0005-0000-0000-00002D000000}"/>
    <cellStyle name="Zelle überprüfen" xfId="45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201707</xdr:rowOff>
    </xdr:from>
    <xdr:to>
      <xdr:col>1</xdr:col>
      <xdr:colOff>789171</xdr:colOff>
      <xdr:row>0</xdr:row>
      <xdr:rowOff>732118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EAFE-D934-963E-F203-194386A1F8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36" t="49533" r="71479" b="39110"/>
        <a:stretch/>
      </xdr:blipFill>
      <xdr:spPr>
        <a:xfrm>
          <a:off x="67235" y="201707"/>
          <a:ext cx="1521289" cy="530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301625</xdr:rowOff>
    </xdr:from>
    <xdr:to>
      <xdr:col>2</xdr:col>
      <xdr:colOff>361961</xdr:colOff>
      <xdr:row>0</xdr:row>
      <xdr:rowOff>1285875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8CF845-0252-466A-BE7E-8F054817DD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533" r="71479" b="39110"/>
        <a:stretch/>
      </xdr:blipFill>
      <xdr:spPr>
        <a:xfrm>
          <a:off x="142875" y="301625"/>
          <a:ext cx="4394211" cy="984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301625</xdr:rowOff>
    </xdr:from>
    <xdr:to>
      <xdr:col>2</xdr:col>
      <xdr:colOff>361961</xdr:colOff>
      <xdr:row>0</xdr:row>
      <xdr:rowOff>1285875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42358-97B3-49C1-87F3-811A1EB4EB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533" r="71479" b="39110"/>
        <a:stretch/>
      </xdr:blipFill>
      <xdr:spPr>
        <a:xfrm>
          <a:off x="142875" y="301625"/>
          <a:ext cx="4391036" cy="984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952501</xdr:colOff>
      <xdr:row>1</xdr:row>
      <xdr:rowOff>127000</xdr:rowOff>
    </xdr:from>
    <xdr:to>
      <xdr:col>5</xdr:col>
      <xdr:colOff>984251</xdr:colOff>
      <xdr:row>1</xdr:row>
      <xdr:rowOff>603250</xdr:rowOff>
    </xdr:to>
    <xdr:sp macro="" textlink="">
      <xdr:nvSpPr>
        <xdr:cNvPr id="3" name="Textfeld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180418" y="317500"/>
          <a:ext cx="2603500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 rtl="0">
            <a:defRPr sz="1000"/>
          </a:pPr>
          <a:endParaRPr lang="en-US" sz="1400" b="1" i="0" strike="noStrike">
            <a:solidFill>
              <a:srgbClr val="333333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2000" b="1" i="0" strike="noStrike">
              <a:solidFill>
                <a:srgbClr val="333333"/>
              </a:solidFill>
              <a:latin typeface="Calibri"/>
              <a:cs typeface="Calibri"/>
            </a:rPr>
            <a:t>Tyre evaluation sheet </a:t>
          </a:r>
        </a:p>
      </xdr:txBody>
    </xdr:sp>
    <xdr:clientData/>
  </xdr:twoCellAnchor>
  <xdr:twoCellAnchor editAs="oneCell">
    <xdr:from>
      <xdr:col>0</xdr:col>
      <xdr:colOff>42333</xdr:colOff>
      <xdr:row>0</xdr:row>
      <xdr:rowOff>158749</xdr:rowOff>
    </xdr:from>
    <xdr:to>
      <xdr:col>3</xdr:col>
      <xdr:colOff>74637</xdr:colOff>
      <xdr:row>1</xdr:row>
      <xdr:rowOff>698499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3F7878-26A9-4CE8-B50C-64B11FA59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533" r="71479" b="39110"/>
        <a:stretch/>
      </xdr:blipFill>
      <xdr:spPr>
        <a:xfrm>
          <a:off x="42333" y="158749"/>
          <a:ext cx="3260221" cy="73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H46"/>
  <sheetViews>
    <sheetView view="pageBreakPreview" topLeftCell="A23" zoomScale="85" zoomScaleNormal="100" zoomScaleSheetLayoutView="85" workbookViewId="0">
      <selection activeCell="C37" sqref="C37:F42"/>
    </sheetView>
  </sheetViews>
  <sheetFormatPr defaultColWidth="11.453125" defaultRowHeight="14.5" x14ac:dyDescent="0.35"/>
  <cols>
    <col min="3" max="3" width="13" customWidth="1"/>
    <col min="6" max="6" width="15.453125" customWidth="1"/>
    <col min="7" max="7" width="10" customWidth="1"/>
    <col min="8" max="8" width="15.54296875" customWidth="1"/>
  </cols>
  <sheetData>
    <row r="1" spans="1:8" ht="76" customHeight="1" x14ac:dyDescent="0.35">
      <c r="A1" s="60" t="s">
        <v>50</v>
      </c>
      <c r="B1" s="61"/>
      <c r="C1" s="59" t="s">
        <v>89</v>
      </c>
      <c r="D1" s="59"/>
      <c r="E1" s="59"/>
      <c r="F1" s="59"/>
      <c r="G1" s="57" t="s">
        <v>102</v>
      </c>
      <c r="H1" s="58"/>
    </row>
    <row r="2" spans="1:8" x14ac:dyDescent="0.35">
      <c r="A2" s="76" t="s">
        <v>90</v>
      </c>
      <c r="B2" s="77"/>
      <c r="C2" s="77"/>
      <c r="D2" s="77"/>
      <c r="E2" s="77"/>
      <c r="F2" s="77"/>
      <c r="G2" s="77"/>
      <c r="H2" s="78"/>
    </row>
    <row r="3" spans="1:8" ht="15.75" customHeight="1" x14ac:dyDescent="0.35">
      <c r="A3" s="79"/>
      <c r="B3" s="80"/>
      <c r="C3" s="80"/>
      <c r="D3" s="80"/>
      <c r="E3" s="80"/>
      <c r="F3" s="80"/>
      <c r="G3" s="80"/>
      <c r="H3" s="81"/>
    </row>
    <row r="4" spans="1:8" x14ac:dyDescent="0.35">
      <c r="A4" s="3"/>
      <c r="B4" s="1"/>
      <c r="C4" s="1"/>
      <c r="D4" s="1"/>
      <c r="E4" s="1"/>
      <c r="F4" s="1"/>
      <c r="G4" s="1"/>
      <c r="H4" s="2"/>
    </row>
    <row r="5" spans="1:8" x14ac:dyDescent="0.35">
      <c r="A5" s="64" t="s">
        <v>47</v>
      </c>
      <c r="B5" s="65"/>
      <c r="C5" s="190" t="s">
        <v>92</v>
      </c>
      <c r="D5" s="190"/>
      <c r="E5" s="190"/>
      <c r="F5" s="190"/>
      <c r="G5" s="72" t="s">
        <v>19</v>
      </c>
      <c r="H5" s="196">
        <v>46217</v>
      </c>
    </row>
    <row r="6" spans="1:8" x14ac:dyDescent="0.35">
      <c r="A6" s="64"/>
      <c r="B6" s="65"/>
      <c r="C6" s="190"/>
      <c r="D6" s="190"/>
      <c r="E6" s="190"/>
      <c r="F6" s="190"/>
      <c r="G6" s="72"/>
      <c r="H6" s="196"/>
    </row>
    <row r="7" spans="1:8" x14ac:dyDescent="0.35">
      <c r="A7" s="64" t="s">
        <v>20</v>
      </c>
      <c r="B7" s="65"/>
      <c r="C7" s="191">
        <v>46217</v>
      </c>
      <c r="D7" s="192"/>
      <c r="E7" s="192"/>
      <c r="F7" s="192"/>
      <c r="G7" s="7"/>
      <c r="H7" s="15"/>
    </row>
    <row r="8" spans="1:8" x14ac:dyDescent="0.35">
      <c r="A8" s="64"/>
      <c r="B8" s="65"/>
      <c r="C8" s="192"/>
      <c r="D8" s="192"/>
      <c r="E8" s="192"/>
      <c r="F8" s="192"/>
      <c r="G8" s="7"/>
      <c r="H8" s="15"/>
    </row>
    <row r="9" spans="1:8" x14ac:dyDescent="0.35">
      <c r="A9" s="64" t="s">
        <v>21</v>
      </c>
      <c r="B9" s="65"/>
      <c r="C9" s="191" t="s">
        <v>138</v>
      </c>
      <c r="D9" s="191"/>
      <c r="E9" s="191"/>
      <c r="F9" s="191"/>
      <c r="G9" s="191"/>
      <c r="H9" s="193"/>
    </row>
    <row r="10" spans="1:8" x14ac:dyDescent="0.35">
      <c r="A10" s="64"/>
      <c r="B10" s="65"/>
      <c r="C10" s="191"/>
      <c r="D10" s="191"/>
      <c r="E10" s="191"/>
      <c r="F10" s="191"/>
      <c r="G10" s="191"/>
      <c r="H10" s="193"/>
    </row>
    <row r="11" spans="1:8" x14ac:dyDescent="0.35">
      <c r="A11" s="64" t="s">
        <v>54</v>
      </c>
      <c r="B11" s="65"/>
      <c r="C11" s="192" t="s">
        <v>109</v>
      </c>
      <c r="D11" s="192"/>
      <c r="E11" s="192"/>
      <c r="F11" s="192"/>
      <c r="G11" s="194"/>
      <c r="H11" s="195"/>
    </row>
    <row r="12" spans="1:8" x14ac:dyDescent="0.35">
      <c r="A12" s="64"/>
      <c r="B12" s="65"/>
      <c r="C12" s="192"/>
      <c r="D12" s="192"/>
      <c r="E12" s="192"/>
      <c r="F12" s="192"/>
      <c r="G12" s="194"/>
      <c r="H12" s="195"/>
    </row>
    <row r="13" spans="1:8" x14ac:dyDescent="0.35">
      <c r="A13" s="64" t="s">
        <v>48</v>
      </c>
      <c r="B13" s="65"/>
      <c r="C13" s="197" t="s">
        <v>110</v>
      </c>
      <c r="D13" s="197" t="s">
        <v>93</v>
      </c>
      <c r="E13" s="197"/>
      <c r="F13" s="198" t="s">
        <v>106</v>
      </c>
      <c r="G13" s="199" t="s">
        <v>107</v>
      </c>
      <c r="H13" s="200">
        <v>1826</v>
      </c>
    </row>
    <row r="14" spans="1:8" x14ac:dyDescent="0.35">
      <c r="A14" s="64"/>
      <c r="B14" s="65"/>
      <c r="C14" s="197"/>
      <c r="D14" s="197"/>
      <c r="E14" s="197"/>
      <c r="F14" s="198"/>
      <c r="G14" s="199"/>
      <c r="H14" s="200"/>
    </row>
    <row r="15" spans="1:8" ht="15" customHeight="1" x14ac:dyDescent="0.35">
      <c r="A15" s="64"/>
      <c r="B15" s="65"/>
      <c r="C15" s="197" t="s">
        <v>111</v>
      </c>
      <c r="D15" s="197" t="s">
        <v>93</v>
      </c>
      <c r="E15" s="197"/>
      <c r="F15" s="198" t="s">
        <v>106</v>
      </c>
      <c r="G15" s="199" t="s">
        <v>107</v>
      </c>
      <c r="H15" s="200">
        <v>1826</v>
      </c>
    </row>
    <row r="16" spans="1:8" x14ac:dyDescent="0.35">
      <c r="A16" s="64"/>
      <c r="B16" s="65"/>
      <c r="C16" s="197"/>
      <c r="D16" s="197"/>
      <c r="E16" s="197"/>
      <c r="F16" s="198"/>
      <c r="G16" s="199"/>
      <c r="H16" s="200"/>
    </row>
    <row r="17" spans="1:8" x14ac:dyDescent="0.35">
      <c r="A17" s="64"/>
      <c r="B17" s="65"/>
      <c r="C17" s="197" t="s">
        <v>135</v>
      </c>
      <c r="D17" s="197" t="s">
        <v>93</v>
      </c>
      <c r="E17" s="197"/>
      <c r="F17" s="198" t="s">
        <v>106</v>
      </c>
      <c r="G17" s="199" t="s">
        <v>107</v>
      </c>
      <c r="H17" s="200"/>
    </row>
    <row r="18" spans="1:8" x14ac:dyDescent="0.35">
      <c r="A18" s="64"/>
      <c r="B18" s="65"/>
      <c r="C18" s="197"/>
      <c r="D18" s="197"/>
      <c r="E18" s="197"/>
      <c r="F18" s="198"/>
      <c r="G18" s="199"/>
      <c r="H18" s="200"/>
    </row>
    <row r="19" spans="1:8" x14ac:dyDescent="0.35">
      <c r="A19" s="64"/>
      <c r="B19" s="65"/>
      <c r="C19" s="197" t="s">
        <v>136</v>
      </c>
      <c r="D19" s="197" t="s">
        <v>93</v>
      </c>
      <c r="E19" s="197"/>
      <c r="F19" s="198" t="s">
        <v>106</v>
      </c>
      <c r="G19" s="199" t="s">
        <v>107</v>
      </c>
      <c r="H19" s="200"/>
    </row>
    <row r="20" spans="1:8" x14ac:dyDescent="0.35">
      <c r="A20" s="64"/>
      <c r="B20" s="65"/>
      <c r="C20" s="197"/>
      <c r="D20" s="197"/>
      <c r="E20" s="197"/>
      <c r="F20" s="198"/>
      <c r="G20" s="199"/>
      <c r="H20" s="200"/>
    </row>
    <row r="21" spans="1:8" x14ac:dyDescent="0.35">
      <c r="A21" s="64"/>
      <c r="B21" s="65"/>
      <c r="C21" s="72"/>
      <c r="D21" s="72"/>
      <c r="E21" s="72"/>
      <c r="F21" s="71"/>
      <c r="G21" s="70"/>
      <c r="H21" s="66"/>
    </row>
    <row r="22" spans="1:8" x14ac:dyDescent="0.35">
      <c r="A22" s="64"/>
      <c r="B22" s="65"/>
      <c r="C22" s="72"/>
      <c r="D22" s="72"/>
      <c r="E22" s="72"/>
      <c r="F22" s="71"/>
      <c r="G22" s="70"/>
      <c r="H22" s="66"/>
    </row>
    <row r="23" spans="1:8" ht="15" customHeight="1" x14ac:dyDescent="0.35">
      <c r="A23" s="64"/>
      <c r="B23" s="65"/>
      <c r="C23" s="72"/>
      <c r="D23" s="72"/>
      <c r="E23" s="72"/>
      <c r="F23" s="71"/>
      <c r="G23" s="70"/>
      <c r="H23" s="66"/>
    </row>
    <row r="24" spans="1:8" ht="15" customHeight="1" x14ac:dyDescent="0.35">
      <c r="A24" s="64"/>
      <c r="B24" s="65"/>
      <c r="C24" s="72"/>
      <c r="D24" s="72"/>
      <c r="E24" s="72"/>
      <c r="F24" s="71"/>
      <c r="G24" s="70"/>
      <c r="H24" s="66"/>
    </row>
    <row r="25" spans="1:8" ht="15" customHeight="1" x14ac:dyDescent="0.35">
      <c r="A25" s="64"/>
      <c r="B25" s="65"/>
      <c r="C25" s="72"/>
      <c r="D25" s="72"/>
      <c r="E25" s="72"/>
      <c r="F25" s="71"/>
      <c r="G25" s="70"/>
      <c r="H25" s="66"/>
    </row>
    <row r="26" spans="1:8" ht="15" customHeight="1" x14ac:dyDescent="0.35">
      <c r="A26" s="64"/>
      <c r="B26" s="65"/>
      <c r="C26" s="72"/>
      <c r="D26" s="72"/>
      <c r="E26" s="72"/>
      <c r="F26" s="71"/>
      <c r="G26" s="70"/>
      <c r="H26" s="66"/>
    </row>
    <row r="27" spans="1:8" ht="15" customHeight="1" x14ac:dyDescent="0.35">
      <c r="A27" s="25"/>
      <c r="B27" s="26"/>
      <c r="C27" s="27"/>
      <c r="D27" s="27"/>
      <c r="E27" s="27"/>
      <c r="F27" s="17"/>
      <c r="G27" s="17"/>
      <c r="H27" s="18"/>
    </row>
    <row r="28" spans="1:8" ht="15" customHeight="1" x14ac:dyDescent="0.35">
      <c r="A28" s="64" t="s">
        <v>22</v>
      </c>
      <c r="B28" s="65"/>
      <c r="C28" s="192" t="s">
        <v>71</v>
      </c>
      <c r="D28" s="192"/>
      <c r="E28" s="192"/>
      <c r="F28" s="192"/>
      <c r="G28" s="192"/>
      <c r="H28" s="201"/>
    </row>
    <row r="29" spans="1:8" ht="15" customHeight="1" x14ac:dyDescent="0.35">
      <c r="A29" s="64"/>
      <c r="B29" s="65"/>
      <c r="C29" s="192"/>
      <c r="D29" s="192"/>
      <c r="E29" s="192"/>
      <c r="F29" s="192"/>
      <c r="G29" s="192"/>
      <c r="H29" s="201"/>
    </row>
    <row r="30" spans="1:8" ht="15" customHeight="1" x14ac:dyDescent="0.35">
      <c r="A30" s="67"/>
      <c r="B30" s="68"/>
      <c r="C30" s="62"/>
      <c r="D30" s="62"/>
      <c r="E30" s="62"/>
      <c r="F30" s="62"/>
      <c r="G30" s="62"/>
      <c r="H30" s="63"/>
    </row>
    <row r="31" spans="1:8" ht="15" customHeight="1" x14ac:dyDescent="0.35">
      <c r="A31" s="67"/>
      <c r="B31" s="68"/>
      <c r="C31" s="62"/>
      <c r="D31" s="62"/>
      <c r="E31" s="62"/>
      <c r="F31" s="62"/>
      <c r="G31" s="62"/>
      <c r="H31" s="63"/>
    </row>
    <row r="32" spans="1:8" ht="15" customHeight="1" x14ac:dyDescent="0.35">
      <c r="A32" s="64" t="s">
        <v>23</v>
      </c>
      <c r="B32" s="65"/>
      <c r="C32" s="202" t="s">
        <v>105</v>
      </c>
      <c r="D32" s="202"/>
      <c r="E32" s="202"/>
      <c r="F32" s="202"/>
      <c r="G32" s="202"/>
      <c r="H32" s="203"/>
    </row>
    <row r="33" spans="1:8" ht="15" customHeight="1" x14ac:dyDescent="0.35">
      <c r="A33" s="64"/>
      <c r="B33" s="65"/>
      <c r="C33" s="202"/>
      <c r="D33" s="202"/>
      <c r="E33" s="202"/>
      <c r="F33" s="202"/>
      <c r="G33" s="202"/>
      <c r="H33" s="203"/>
    </row>
    <row r="34" spans="1:8" ht="15" customHeight="1" x14ac:dyDescent="0.35">
      <c r="A34" s="64" t="s">
        <v>24</v>
      </c>
      <c r="B34" s="65"/>
      <c r="C34" s="69" t="s">
        <v>52</v>
      </c>
      <c r="D34" s="197">
        <v>32</v>
      </c>
      <c r="E34" s="69" t="s">
        <v>53</v>
      </c>
      <c r="F34" s="197">
        <v>32</v>
      </c>
      <c r="G34" s="62" t="s">
        <v>62</v>
      </c>
      <c r="H34" s="63"/>
    </row>
    <row r="35" spans="1:8" ht="15" customHeight="1" x14ac:dyDescent="0.35">
      <c r="A35" s="64"/>
      <c r="B35" s="65"/>
      <c r="C35" s="69"/>
      <c r="D35" s="197"/>
      <c r="E35" s="69"/>
      <c r="F35" s="197"/>
      <c r="G35" s="62"/>
      <c r="H35" s="63"/>
    </row>
    <row r="36" spans="1:8" ht="15" customHeight="1" x14ac:dyDescent="0.35">
      <c r="A36" s="73"/>
      <c r="B36" s="74"/>
      <c r="C36" s="74"/>
      <c r="D36" s="74"/>
      <c r="E36" s="74"/>
      <c r="F36" s="74"/>
      <c r="G36" s="74"/>
      <c r="H36" s="75"/>
    </row>
    <row r="37" spans="1:8" ht="15" customHeight="1" x14ac:dyDescent="0.35">
      <c r="A37" s="64" t="s">
        <v>25</v>
      </c>
      <c r="B37" s="65"/>
      <c r="C37" s="192" t="s">
        <v>112</v>
      </c>
      <c r="D37" s="192"/>
      <c r="E37" s="192"/>
      <c r="F37" s="192"/>
      <c r="G37" s="7"/>
      <c r="H37" s="15"/>
    </row>
    <row r="38" spans="1:8" ht="15" customHeight="1" x14ac:dyDescent="0.35">
      <c r="A38" s="64"/>
      <c r="B38" s="65"/>
      <c r="C38" s="192"/>
      <c r="D38" s="192"/>
      <c r="E38" s="192"/>
      <c r="F38" s="192"/>
      <c r="G38" s="7"/>
      <c r="H38" s="15"/>
    </row>
    <row r="39" spans="1:8" ht="15" customHeight="1" x14ac:dyDescent="0.35">
      <c r="A39" s="64" t="s">
        <v>49</v>
      </c>
      <c r="B39" s="65"/>
      <c r="C39" s="192" t="s">
        <v>91</v>
      </c>
      <c r="D39" s="192"/>
      <c r="E39" s="192"/>
      <c r="F39" s="192"/>
      <c r="G39" s="7"/>
      <c r="H39" s="15"/>
    </row>
    <row r="40" spans="1:8" ht="15" customHeight="1" x14ac:dyDescent="0.35">
      <c r="A40" s="64"/>
      <c r="B40" s="65"/>
      <c r="C40" s="192"/>
      <c r="D40" s="192"/>
      <c r="E40" s="192"/>
      <c r="F40" s="192"/>
      <c r="G40" s="7"/>
      <c r="H40" s="15"/>
    </row>
    <row r="41" spans="1:8" ht="15" customHeight="1" x14ac:dyDescent="0.35">
      <c r="A41" s="64" t="s">
        <v>51</v>
      </c>
      <c r="B41" s="65"/>
      <c r="C41" s="192" t="s">
        <v>56</v>
      </c>
      <c r="D41" s="192"/>
      <c r="E41" s="192"/>
      <c r="F41" s="192"/>
      <c r="G41" s="7"/>
      <c r="H41" s="15"/>
    </row>
    <row r="42" spans="1:8" ht="15" customHeight="1" x14ac:dyDescent="0.35">
      <c r="A42" s="64"/>
      <c r="B42" s="65"/>
      <c r="C42" s="192"/>
      <c r="D42" s="192"/>
      <c r="E42" s="192"/>
      <c r="F42" s="192"/>
      <c r="G42" s="7"/>
      <c r="H42" s="15"/>
    </row>
    <row r="43" spans="1:8" x14ac:dyDescent="0.35">
      <c r="A43" s="21"/>
      <c r="B43" s="17"/>
      <c r="C43" s="17"/>
      <c r="D43" s="17"/>
      <c r="E43" s="17"/>
      <c r="F43" s="17"/>
      <c r="G43" s="17"/>
      <c r="H43" s="18"/>
    </row>
    <row r="44" spans="1:8" ht="13.5" customHeight="1" x14ac:dyDescent="0.35">
      <c r="A44" s="21"/>
      <c r="B44" s="17"/>
      <c r="C44" s="17"/>
      <c r="D44" s="17"/>
      <c r="E44" s="17"/>
      <c r="F44" s="17"/>
      <c r="G44" s="17"/>
      <c r="H44" s="18"/>
    </row>
    <row r="45" spans="1:8" ht="17.25" customHeight="1" x14ac:dyDescent="0.35">
      <c r="A45" s="21"/>
      <c r="B45" s="17"/>
      <c r="C45" s="17"/>
      <c r="D45" s="17"/>
      <c r="E45" s="17"/>
      <c r="F45" s="17"/>
      <c r="G45" s="17"/>
      <c r="H45" s="18"/>
    </row>
    <row r="46" spans="1:8" ht="15" customHeight="1" x14ac:dyDescent="0.35">
      <c r="A46" s="22"/>
      <c r="B46" s="23"/>
      <c r="C46" s="23"/>
      <c r="D46" s="23"/>
      <c r="E46" s="23"/>
      <c r="F46" s="23"/>
      <c r="G46" s="23"/>
      <c r="H46" s="24"/>
    </row>
  </sheetData>
  <sheetProtection selectLockedCells="1"/>
  <mergeCells count="75">
    <mergeCell ref="A2:H3"/>
    <mergeCell ref="A5:B6"/>
    <mergeCell ref="A23:B24"/>
    <mergeCell ref="D19:E20"/>
    <mergeCell ref="A21:B22"/>
    <mergeCell ref="C19:C20"/>
    <mergeCell ref="A19:B20"/>
    <mergeCell ref="A15:B16"/>
    <mergeCell ref="C5:F6"/>
    <mergeCell ref="G5:G6"/>
    <mergeCell ref="H5:H6"/>
    <mergeCell ref="C9:H10"/>
    <mergeCell ref="A7:B8"/>
    <mergeCell ref="C7:F8"/>
    <mergeCell ref="A9:B10"/>
    <mergeCell ref="C11:F12"/>
    <mergeCell ref="C15:C16"/>
    <mergeCell ref="D13:E14"/>
    <mergeCell ref="A13:B14"/>
    <mergeCell ref="C23:C24"/>
    <mergeCell ref="F34:F35"/>
    <mergeCell ref="D34:D35"/>
    <mergeCell ref="A11:B12"/>
    <mergeCell ref="C13:C14"/>
    <mergeCell ref="D15:E16"/>
    <mergeCell ref="F23:F24"/>
    <mergeCell ref="F25:F26"/>
    <mergeCell ref="D23:E24"/>
    <mergeCell ref="C21:C22"/>
    <mergeCell ref="C17:C18"/>
    <mergeCell ref="D17:E18"/>
    <mergeCell ref="A17:B18"/>
    <mergeCell ref="F13:F14"/>
    <mergeCell ref="F15:F16"/>
    <mergeCell ref="F17:F18"/>
    <mergeCell ref="D25:E26"/>
    <mergeCell ref="D21:E22"/>
    <mergeCell ref="F21:F22"/>
    <mergeCell ref="H13:H14"/>
    <mergeCell ref="H21:H22"/>
    <mergeCell ref="H19:H20"/>
    <mergeCell ref="H15:H16"/>
    <mergeCell ref="H17:H18"/>
    <mergeCell ref="G13:G14"/>
    <mergeCell ref="G15:G16"/>
    <mergeCell ref="G17:G18"/>
    <mergeCell ref="G19:G20"/>
    <mergeCell ref="G21:G22"/>
    <mergeCell ref="G23:G24"/>
    <mergeCell ref="G25:G26"/>
    <mergeCell ref="F19:F20"/>
    <mergeCell ref="A37:B38"/>
    <mergeCell ref="C34:C35"/>
    <mergeCell ref="A34:B35"/>
    <mergeCell ref="A32:B33"/>
    <mergeCell ref="C25:C26"/>
    <mergeCell ref="A36:H36"/>
    <mergeCell ref="A28:B29"/>
    <mergeCell ref="A25:B26"/>
    <mergeCell ref="G1:H1"/>
    <mergeCell ref="C1:F1"/>
    <mergeCell ref="A1:B1"/>
    <mergeCell ref="G34:H35"/>
    <mergeCell ref="A41:B42"/>
    <mergeCell ref="C41:F42"/>
    <mergeCell ref="C32:H33"/>
    <mergeCell ref="C28:H29"/>
    <mergeCell ref="H23:H24"/>
    <mergeCell ref="H25:H26"/>
    <mergeCell ref="C37:F38"/>
    <mergeCell ref="A39:B40"/>
    <mergeCell ref="C30:H31"/>
    <mergeCell ref="A30:B31"/>
    <mergeCell ref="C39:F40"/>
    <mergeCell ref="E34:E35"/>
  </mergeCells>
  <phoneticPr fontId="0" type="noConversion"/>
  <printOptions horizontalCentered="1" verticalCentered="1"/>
  <pageMargins left="0" right="0" top="0" bottom="0" header="0" footer="0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5"/>
  </sheetPr>
  <dimension ref="A1:U40"/>
  <sheetViews>
    <sheetView tabSelected="1" view="pageBreakPreview" topLeftCell="A24" zoomScale="40" zoomScaleNormal="40" zoomScaleSheetLayoutView="40" workbookViewId="0">
      <selection activeCell="E39" sqref="E39:T39"/>
    </sheetView>
  </sheetViews>
  <sheetFormatPr defaultRowHeight="14.5" x14ac:dyDescent="0.35"/>
  <cols>
    <col min="1" max="1" width="14.26953125" customWidth="1"/>
    <col min="2" max="2" width="45.453125" customWidth="1"/>
    <col min="3" max="3" width="39.7265625" customWidth="1"/>
    <col min="4" max="4" width="16.26953125" customWidth="1"/>
    <col min="5" max="5" width="15.7265625" customWidth="1"/>
    <col min="6" max="7" width="11.453125" customWidth="1"/>
    <col min="8" max="8" width="38.36328125" customWidth="1"/>
    <col min="9" max="9" width="15.7265625" customWidth="1"/>
    <col min="10" max="10" width="11.453125" customWidth="1"/>
    <col min="11" max="11" width="12.54296875" customWidth="1"/>
    <col min="12" max="12" width="37.36328125" customWidth="1"/>
    <col min="13" max="13" width="15.7265625" customWidth="1"/>
    <col min="14" max="14" width="12.81640625" customWidth="1"/>
    <col min="15" max="15" width="14.26953125" customWidth="1"/>
    <col min="16" max="16" width="27.26953125" customWidth="1"/>
    <col min="17" max="17" width="15.7265625" customWidth="1"/>
    <col min="18" max="18" width="10.453125" customWidth="1"/>
    <col min="19" max="19" width="11" customWidth="1"/>
    <col min="20" max="20" width="37.1796875" customWidth="1"/>
  </cols>
  <sheetData>
    <row r="1" spans="1:21" ht="128.5" customHeight="1" x14ac:dyDescent="0.75">
      <c r="A1" s="124"/>
      <c r="B1" s="124"/>
      <c r="C1" s="124"/>
      <c r="D1" s="124"/>
      <c r="E1" s="124"/>
      <c r="F1" s="124"/>
      <c r="G1" s="124"/>
      <c r="H1" s="124"/>
      <c r="I1" s="125" t="s">
        <v>101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</row>
    <row r="2" spans="1:21" ht="51.5" customHeight="1" x14ac:dyDescent="0.35">
      <c r="A2" s="127" t="s">
        <v>0</v>
      </c>
      <c r="B2" s="31" t="s">
        <v>1</v>
      </c>
      <c r="C2" s="144" t="str">
        <f>Tabelle!C32</f>
        <v>MSPT,Chennai</v>
      </c>
      <c r="D2" s="145"/>
      <c r="E2" s="128" t="s">
        <v>55</v>
      </c>
      <c r="F2" s="129"/>
      <c r="G2" s="130" t="s">
        <v>56</v>
      </c>
      <c r="H2" s="130"/>
      <c r="I2" s="131" t="s">
        <v>2</v>
      </c>
      <c r="J2" s="131"/>
      <c r="K2" s="152" t="str">
        <f>IF(Tabelle!C11="","",Tabelle!C11)</f>
        <v>235/60R18</v>
      </c>
      <c r="L2" s="153"/>
      <c r="M2" s="131" t="s">
        <v>3</v>
      </c>
      <c r="N2" s="131"/>
      <c r="O2" s="32">
        <f>IF(Tabelle!D34="","",Tabelle!D34)</f>
        <v>32</v>
      </c>
      <c r="P2" s="33" t="s">
        <v>62</v>
      </c>
      <c r="Q2" s="131" t="s">
        <v>4</v>
      </c>
      <c r="R2" s="131"/>
      <c r="S2" s="138">
        <f>Tabelle!H5</f>
        <v>46217</v>
      </c>
      <c r="T2" s="139"/>
    </row>
    <row r="3" spans="1:21" ht="26" x14ac:dyDescent="0.6">
      <c r="A3" s="127"/>
      <c r="B3" s="141"/>
      <c r="C3" s="142"/>
      <c r="D3" s="143"/>
      <c r="E3" s="128"/>
      <c r="F3" s="151"/>
      <c r="G3" s="151"/>
      <c r="H3" s="117"/>
      <c r="I3" s="131" t="s">
        <v>5</v>
      </c>
      <c r="J3" s="131"/>
      <c r="K3" s="149" t="str">
        <f>IF(Tabelle!C37="","",Tabelle!C37)</f>
        <v>7.0 J x 18(Alloy Rims)</v>
      </c>
      <c r="L3" s="150"/>
      <c r="M3" s="154" t="s">
        <v>60</v>
      </c>
      <c r="N3" s="155"/>
      <c r="O3" s="32">
        <f>IF(Tabelle!F34="","",Tabelle!F34)</f>
        <v>32</v>
      </c>
      <c r="P3" s="33" t="s">
        <v>62</v>
      </c>
      <c r="Q3" s="131" t="s">
        <v>6</v>
      </c>
      <c r="R3" s="131"/>
      <c r="S3" s="130" t="s">
        <v>65</v>
      </c>
      <c r="T3" s="130"/>
    </row>
    <row r="4" spans="1:21" ht="26" x14ac:dyDescent="0.35">
      <c r="A4" s="127"/>
      <c r="B4" s="146"/>
      <c r="C4" s="147"/>
      <c r="D4" s="148"/>
      <c r="E4" s="134" t="s">
        <v>7</v>
      </c>
      <c r="F4" s="134"/>
      <c r="G4" s="134"/>
      <c r="H4" s="134"/>
      <c r="I4" s="134" t="s">
        <v>8</v>
      </c>
      <c r="J4" s="134"/>
      <c r="K4" s="134"/>
      <c r="L4" s="134"/>
      <c r="M4" s="134" t="s">
        <v>9</v>
      </c>
      <c r="N4" s="134"/>
      <c r="O4" s="134"/>
      <c r="P4" s="134"/>
      <c r="Q4" s="134" t="s">
        <v>10</v>
      </c>
      <c r="R4" s="134"/>
      <c r="S4" s="134"/>
      <c r="T4" s="134"/>
    </row>
    <row r="5" spans="1:21" ht="26" x14ac:dyDescent="0.35">
      <c r="A5" s="127"/>
      <c r="B5" s="34" t="s">
        <v>11</v>
      </c>
      <c r="C5" s="135" t="str">
        <f>IF(Tabelle!C5="","",Tabelle!C5)</f>
        <v>NA</v>
      </c>
      <c r="D5" s="140"/>
      <c r="E5" s="119" t="str">
        <f>IF(Tabelle!D13="","",Tabelle!D13)</f>
        <v>JK Tyre</v>
      </c>
      <c r="F5" s="120"/>
      <c r="G5" s="120"/>
      <c r="H5" s="121"/>
      <c r="I5" s="118" t="str">
        <f>IF(Tabelle!D15="","",Tabelle!D15)</f>
        <v>JK Tyre</v>
      </c>
      <c r="J5" s="118"/>
      <c r="K5" s="118"/>
      <c r="L5" s="118"/>
      <c r="M5" s="118" t="str">
        <f>IF(Tabelle!D17="","",Tabelle!D17)</f>
        <v>JK Tyre</v>
      </c>
      <c r="N5" s="118"/>
      <c r="O5" s="118"/>
      <c r="P5" s="118"/>
      <c r="Q5" s="118" t="str">
        <f>Tabelle!D19</f>
        <v>JK Tyre</v>
      </c>
      <c r="R5" s="118"/>
      <c r="S5" s="118"/>
      <c r="T5" s="118"/>
    </row>
    <row r="6" spans="1:21" ht="26" x14ac:dyDescent="0.6">
      <c r="A6" s="127"/>
      <c r="B6" s="106" t="s">
        <v>12</v>
      </c>
      <c r="C6" s="107"/>
      <c r="D6" s="108"/>
      <c r="E6" s="135" t="str">
        <f>IF(Tabelle!C13="","",Tabelle!C13)</f>
        <v>MY6</v>
      </c>
      <c r="F6" s="136"/>
      <c r="G6" s="136"/>
      <c r="H6" s="137"/>
      <c r="I6" s="132" t="str">
        <f>IF(Tabelle!C15="","",Tabelle!C15)</f>
        <v>MX1</v>
      </c>
      <c r="J6" s="132"/>
      <c r="K6" s="132"/>
      <c r="L6" s="132"/>
      <c r="M6" s="132" t="str">
        <f>IF(Tabelle!C17="","",Tabelle!C17)</f>
        <v>MW1</v>
      </c>
      <c r="N6" s="132"/>
      <c r="O6" s="132"/>
      <c r="P6" s="132"/>
      <c r="Q6" s="132" t="str">
        <f>Tabelle!C19</f>
        <v>MW2</v>
      </c>
      <c r="R6" s="132"/>
      <c r="S6" s="132"/>
      <c r="T6" s="132"/>
    </row>
    <row r="7" spans="1:21" ht="26" x14ac:dyDescent="0.6">
      <c r="A7" s="127"/>
      <c r="B7" s="34" t="s">
        <v>13</v>
      </c>
      <c r="C7" s="109" t="s">
        <v>14</v>
      </c>
      <c r="D7" s="108"/>
      <c r="E7" s="156" t="str">
        <f>Tabelle!G13</f>
        <v>103H</v>
      </c>
      <c r="F7" s="151"/>
      <c r="G7" s="117"/>
      <c r="H7" s="35">
        <f>Tabelle!H13</f>
        <v>1826</v>
      </c>
      <c r="I7" s="133" t="str">
        <f>Tabelle!G15</f>
        <v>103H</v>
      </c>
      <c r="J7" s="118"/>
      <c r="K7" s="118"/>
      <c r="L7" s="35">
        <f>Tabelle!H15</f>
        <v>1826</v>
      </c>
      <c r="M7" s="133" t="str">
        <f>Tabelle!G17</f>
        <v>103H</v>
      </c>
      <c r="N7" s="118"/>
      <c r="O7" s="118"/>
      <c r="P7" s="35">
        <f>Tabelle!H17</f>
        <v>0</v>
      </c>
      <c r="Q7" s="133" t="str">
        <f>Tabelle!G19</f>
        <v>103H</v>
      </c>
      <c r="R7" s="118"/>
      <c r="S7" s="118"/>
      <c r="T7" s="35">
        <f>Tabelle!H19</f>
        <v>0</v>
      </c>
    </row>
    <row r="8" spans="1:21" ht="26" x14ac:dyDescent="0.35">
      <c r="A8" s="127"/>
      <c r="B8" s="106" t="s">
        <v>15</v>
      </c>
      <c r="C8" s="107"/>
      <c r="D8" s="108"/>
      <c r="E8" s="119" t="str">
        <f>IF(Tabelle!F13="","",Tabelle!F13)</f>
        <v>Ranger HP s</v>
      </c>
      <c r="F8" s="120"/>
      <c r="G8" s="120"/>
      <c r="H8" s="121"/>
      <c r="I8" s="118" t="str">
        <f>IF(Tabelle!F15="","",Tabelle!F15)</f>
        <v>Ranger HP s</v>
      </c>
      <c r="J8" s="118"/>
      <c r="K8" s="118"/>
      <c r="L8" s="118"/>
      <c r="M8" s="118" t="str">
        <f>IF(Tabelle!F17="","",Tabelle!F17)</f>
        <v>Ranger HP s</v>
      </c>
      <c r="N8" s="118"/>
      <c r="O8" s="118"/>
      <c r="P8" s="118"/>
      <c r="Q8" s="118" t="str">
        <f>Tabelle!F19</f>
        <v>Ranger HP s</v>
      </c>
      <c r="R8" s="118"/>
      <c r="S8" s="118"/>
      <c r="T8" s="118"/>
    </row>
    <row r="9" spans="1:21" ht="26" x14ac:dyDescent="0.6">
      <c r="A9" s="28"/>
      <c r="B9" s="36" t="s">
        <v>63</v>
      </c>
      <c r="C9" s="106" t="s">
        <v>64</v>
      </c>
      <c r="D9" s="108"/>
      <c r="E9" s="116">
        <v>36</v>
      </c>
      <c r="F9" s="117"/>
      <c r="G9" s="122"/>
      <c r="H9" s="123"/>
      <c r="I9" s="116">
        <v>35</v>
      </c>
      <c r="J9" s="117"/>
      <c r="K9" s="122"/>
      <c r="L9" s="123"/>
      <c r="M9" s="116">
        <v>37</v>
      </c>
      <c r="N9" s="117"/>
      <c r="O9" s="122"/>
      <c r="P9" s="123"/>
      <c r="Q9" s="116">
        <v>36</v>
      </c>
      <c r="R9" s="117"/>
      <c r="S9" s="122"/>
      <c r="T9" s="123"/>
    </row>
    <row r="10" spans="1:21" ht="31" x14ac:dyDescent="0.35">
      <c r="A10" s="20"/>
      <c r="B10" s="110" t="s">
        <v>103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2"/>
      <c r="U10" s="19"/>
    </row>
    <row r="11" spans="1:21" ht="26.25" customHeight="1" x14ac:dyDescent="0.35">
      <c r="A11" s="92" t="s">
        <v>72</v>
      </c>
      <c r="B11" s="157" t="s">
        <v>70</v>
      </c>
      <c r="C11" s="157"/>
      <c r="D11" s="29" t="s">
        <v>76</v>
      </c>
      <c r="E11" s="37"/>
      <c r="F11" s="38"/>
      <c r="G11" s="38"/>
      <c r="H11" s="38"/>
      <c r="I11" s="39"/>
      <c r="J11" s="38"/>
      <c r="K11" s="38"/>
      <c r="L11" s="38"/>
      <c r="M11" s="39"/>
      <c r="N11" s="40"/>
      <c r="O11" s="38"/>
      <c r="P11" s="38"/>
      <c r="Q11" s="39"/>
      <c r="R11" s="38"/>
      <c r="S11" s="38"/>
      <c r="T11" s="41"/>
      <c r="U11" s="19"/>
    </row>
    <row r="12" spans="1:21" ht="66.5" customHeight="1" x14ac:dyDescent="0.35">
      <c r="A12" s="93"/>
      <c r="B12" s="83" t="s">
        <v>73</v>
      </c>
      <c r="C12" s="86"/>
      <c r="D12" s="42">
        <v>0.1</v>
      </c>
      <c r="E12" s="204">
        <v>7</v>
      </c>
      <c r="F12" s="205" t="s">
        <v>113</v>
      </c>
      <c r="G12" s="205"/>
      <c r="H12" s="205"/>
      <c r="I12" s="204">
        <v>7.25</v>
      </c>
      <c r="J12" s="206" t="s">
        <v>124</v>
      </c>
      <c r="K12" s="206"/>
      <c r="L12" s="206"/>
      <c r="M12" s="204">
        <v>7</v>
      </c>
      <c r="N12" s="206" t="s">
        <v>113</v>
      </c>
      <c r="O12" s="206"/>
      <c r="P12" s="206"/>
      <c r="Q12" s="204">
        <v>7</v>
      </c>
      <c r="R12" s="206" t="s">
        <v>113</v>
      </c>
      <c r="S12" s="206"/>
      <c r="T12" s="206"/>
      <c r="U12" s="19"/>
    </row>
    <row r="13" spans="1:21" ht="90" customHeight="1" x14ac:dyDescent="0.35">
      <c r="A13" s="93"/>
      <c r="B13" s="83" t="s">
        <v>74</v>
      </c>
      <c r="C13" s="86"/>
      <c r="D13" s="42">
        <v>0.4</v>
      </c>
      <c r="E13" s="204">
        <v>7.25</v>
      </c>
      <c r="F13" s="205" t="s">
        <v>114</v>
      </c>
      <c r="G13" s="205"/>
      <c r="H13" s="205"/>
      <c r="I13" s="204">
        <v>7</v>
      </c>
      <c r="J13" s="205" t="s">
        <v>125</v>
      </c>
      <c r="K13" s="205"/>
      <c r="L13" s="205"/>
      <c r="M13" s="204">
        <v>7</v>
      </c>
      <c r="N13" s="205" t="s">
        <v>99</v>
      </c>
      <c r="O13" s="205"/>
      <c r="P13" s="205"/>
      <c r="Q13" s="204">
        <v>6.75</v>
      </c>
      <c r="R13" s="207" t="s">
        <v>149</v>
      </c>
      <c r="S13" s="208"/>
      <c r="T13" s="209"/>
      <c r="U13" s="19"/>
    </row>
    <row r="14" spans="1:21" ht="82.5" customHeight="1" x14ac:dyDescent="0.35">
      <c r="A14" s="93"/>
      <c r="B14" s="83" t="s">
        <v>88</v>
      </c>
      <c r="C14" s="86"/>
      <c r="D14" s="42">
        <v>0.3</v>
      </c>
      <c r="E14" s="204">
        <v>7.25</v>
      </c>
      <c r="F14" s="205" t="s">
        <v>115</v>
      </c>
      <c r="G14" s="205"/>
      <c r="H14" s="205"/>
      <c r="I14" s="204">
        <v>7</v>
      </c>
      <c r="J14" s="207" t="s">
        <v>126</v>
      </c>
      <c r="K14" s="208"/>
      <c r="L14" s="209"/>
      <c r="M14" s="204">
        <v>7</v>
      </c>
      <c r="N14" s="207"/>
      <c r="O14" s="208"/>
      <c r="P14" s="209"/>
      <c r="Q14" s="204">
        <v>7</v>
      </c>
      <c r="R14" s="205"/>
      <c r="S14" s="205"/>
      <c r="T14" s="205"/>
      <c r="U14" s="19"/>
    </row>
    <row r="15" spans="1:21" ht="74" customHeight="1" x14ac:dyDescent="0.35">
      <c r="A15" s="93"/>
      <c r="B15" s="83" t="s">
        <v>75</v>
      </c>
      <c r="C15" s="86"/>
      <c r="D15" s="42">
        <v>0.2</v>
      </c>
      <c r="E15" s="204">
        <v>6.75</v>
      </c>
      <c r="F15" s="205" t="s">
        <v>116</v>
      </c>
      <c r="G15" s="205"/>
      <c r="H15" s="205"/>
      <c r="I15" s="210">
        <v>7.25</v>
      </c>
      <c r="J15" s="205" t="s">
        <v>137</v>
      </c>
      <c r="K15" s="205"/>
      <c r="L15" s="205"/>
      <c r="M15" s="210">
        <v>7</v>
      </c>
      <c r="N15" s="205"/>
      <c r="O15" s="205"/>
      <c r="P15" s="205"/>
      <c r="Q15" s="210">
        <v>7</v>
      </c>
      <c r="R15" s="205"/>
      <c r="S15" s="205"/>
      <c r="T15" s="205"/>
      <c r="U15" s="19"/>
    </row>
    <row r="16" spans="1:21" ht="65.25" customHeight="1" x14ac:dyDescent="0.35">
      <c r="A16" s="93"/>
      <c r="B16" s="83" t="s">
        <v>94</v>
      </c>
      <c r="C16" s="86"/>
      <c r="D16" s="42"/>
      <c r="E16" s="204">
        <v>7</v>
      </c>
      <c r="F16" s="205" t="s">
        <v>99</v>
      </c>
      <c r="G16" s="205"/>
      <c r="H16" s="205"/>
      <c r="I16" s="210">
        <v>7</v>
      </c>
      <c r="J16" s="205" t="s">
        <v>99</v>
      </c>
      <c r="K16" s="205"/>
      <c r="L16" s="205"/>
      <c r="M16" s="210">
        <v>7</v>
      </c>
      <c r="N16" s="205"/>
      <c r="O16" s="205"/>
      <c r="P16" s="205"/>
      <c r="Q16" s="210">
        <v>7</v>
      </c>
      <c r="R16" s="205" t="s">
        <v>99</v>
      </c>
      <c r="S16" s="205"/>
      <c r="T16" s="205"/>
      <c r="U16" s="19"/>
    </row>
    <row r="17" spans="1:21" ht="65.25" customHeight="1" x14ac:dyDescent="0.35">
      <c r="A17" s="93"/>
      <c r="B17" s="83" t="s">
        <v>95</v>
      </c>
      <c r="C17" s="86"/>
      <c r="D17" s="42"/>
      <c r="E17" s="204">
        <v>7</v>
      </c>
      <c r="F17" s="205" t="s">
        <v>99</v>
      </c>
      <c r="G17" s="205"/>
      <c r="H17" s="205"/>
      <c r="I17" s="210">
        <v>7</v>
      </c>
      <c r="J17" s="205" t="s">
        <v>99</v>
      </c>
      <c r="K17" s="205"/>
      <c r="L17" s="205"/>
      <c r="M17" s="210">
        <v>7</v>
      </c>
      <c r="N17" s="205"/>
      <c r="O17" s="205"/>
      <c r="P17" s="205"/>
      <c r="Q17" s="210">
        <v>7</v>
      </c>
      <c r="R17" s="205"/>
      <c r="S17" s="205"/>
      <c r="T17" s="205"/>
      <c r="U17" s="19"/>
    </row>
    <row r="18" spans="1:21" ht="26" x14ac:dyDescent="0.35">
      <c r="A18" s="94"/>
      <c r="B18" s="89" t="s">
        <v>66</v>
      </c>
      <c r="C18" s="91"/>
      <c r="D18" s="45"/>
      <c r="E18" s="46">
        <f>AVERAGE(E12:E17)</f>
        <v>7.041666666666667</v>
      </c>
      <c r="F18" s="113"/>
      <c r="G18" s="114"/>
      <c r="H18" s="115"/>
      <c r="I18" s="46">
        <f>AVERAGE(I12:I17)</f>
        <v>7.083333333333333</v>
      </c>
      <c r="J18" s="113"/>
      <c r="K18" s="114"/>
      <c r="L18" s="115"/>
      <c r="M18" s="46">
        <v>7</v>
      </c>
      <c r="N18" s="113"/>
      <c r="O18" s="114"/>
      <c r="P18" s="115"/>
      <c r="Q18" s="46">
        <f>AVERAGE(Q12:Q17)</f>
        <v>6.958333333333333</v>
      </c>
      <c r="R18" s="113"/>
      <c r="S18" s="114"/>
      <c r="T18" s="115"/>
      <c r="U18" s="19"/>
    </row>
    <row r="19" spans="1:21" ht="26.25" customHeight="1" x14ac:dyDescent="0.35">
      <c r="A19" s="92" t="s">
        <v>16</v>
      </c>
      <c r="B19" s="87" t="s">
        <v>69</v>
      </c>
      <c r="C19" s="88"/>
      <c r="D19" s="30"/>
      <c r="E19" s="47"/>
      <c r="F19" s="48"/>
      <c r="G19" s="48"/>
      <c r="H19" s="48"/>
      <c r="I19" s="47"/>
      <c r="J19" s="48"/>
      <c r="K19" s="48"/>
      <c r="L19" s="48"/>
      <c r="M19" s="47"/>
      <c r="N19" s="49"/>
      <c r="O19" s="48"/>
      <c r="P19" s="48"/>
      <c r="Q19" s="47"/>
      <c r="R19" s="48"/>
      <c r="S19" s="48"/>
      <c r="T19" s="50"/>
      <c r="U19" s="19"/>
    </row>
    <row r="20" spans="1:21" ht="50.25" customHeight="1" x14ac:dyDescent="0.35">
      <c r="A20" s="93"/>
      <c r="B20" s="83" t="s">
        <v>77</v>
      </c>
      <c r="C20" s="86"/>
      <c r="D20" s="42">
        <v>0.2</v>
      </c>
      <c r="E20" s="210">
        <v>7</v>
      </c>
      <c r="F20" s="205" t="s">
        <v>117</v>
      </c>
      <c r="G20" s="205"/>
      <c r="H20" s="205"/>
      <c r="I20" s="210">
        <v>7</v>
      </c>
      <c r="J20" s="211" t="s">
        <v>127</v>
      </c>
      <c r="K20" s="212"/>
      <c r="L20" s="213"/>
      <c r="M20" s="210">
        <v>7</v>
      </c>
      <c r="N20" s="211"/>
      <c r="O20" s="212"/>
      <c r="P20" s="213"/>
      <c r="Q20" s="210">
        <v>7</v>
      </c>
      <c r="R20" s="211"/>
      <c r="S20" s="212"/>
      <c r="T20" s="213"/>
      <c r="U20" s="19"/>
    </row>
    <row r="21" spans="1:21" ht="71.25" customHeight="1" x14ac:dyDescent="0.35">
      <c r="A21" s="93"/>
      <c r="B21" s="83" t="s">
        <v>78</v>
      </c>
      <c r="C21" s="86"/>
      <c r="D21" s="42">
        <v>0.2</v>
      </c>
      <c r="E21" s="210">
        <v>6.75</v>
      </c>
      <c r="F21" s="205" t="s">
        <v>118</v>
      </c>
      <c r="G21" s="205"/>
      <c r="H21" s="205"/>
      <c r="I21" s="210">
        <v>6.5</v>
      </c>
      <c r="J21" s="214" t="s">
        <v>128</v>
      </c>
      <c r="K21" s="214"/>
      <c r="L21" s="214"/>
      <c r="M21" s="210">
        <v>6.5</v>
      </c>
      <c r="N21" s="214" t="s">
        <v>134</v>
      </c>
      <c r="O21" s="214"/>
      <c r="P21" s="214"/>
      <c r="Q21" s="210">
        <v>7</v>
      </c>
      <c r="R21" s="214"/>
      <c r="S21" s="214"/>
      <c r="T21" s="214"/>
      <c r="U21" s="19"/>
    </row>
    <row r="22" spans="1:21" ht="76.5" customHeight="1" x14ac:dyDescent="0.35">
      <c r="A22" s="93"/>
      <c r="B22" s="83" t="s">
        <v>79</v>
      </c>
      <c r="C22" s="86"/>
      <c r="D22" s="42">
        <v>0.1</v>
      </c>
      <c r="E22" s="210">
        <v>7</v>
      </c>
      <c r="F22" s="205" t="s">
        <v>119</v>
      </c>
      <c r="G22" s="205"/>
      <c r="H22" s="205"/>
      <c r="I22" s="204">
        <v>7</v>
      </c>
      <c r="J22" s="214" t="s">
        <v>99</v>
      </c>
      <c r="K22" s="214"/>
      <c r="L22" s="214"/>
      <c r="M22" s="204">
        <v>7</v>
      </c>
      <c r="N22" s="214" t="s">
        <v>99</v>
      </c>
      <c r="O22" s="214"/>
      <c r="P22" s="214"/>
      <c r="Q22" s="204">
        <v>7</v>
      </c>
      <c r="R22" s="214" t="s">
        <v>144</v>
      </c>
      <c r="S22" s="214"/>
      <c r="T22" s="214"/>
      <c r="U22" s="19"/>
    </row>
    <row r="23" spans="1:21" ht="50.25" customHeight="1" x14ac:dyDescent="0.35">
      <c r="A23" s="93"/>
      <c r="B23" s="83" t="s">
        <v>104</v>
      </c>
      <c r="C23" s="86"/>
      <c r="D23" s="42">
        <v>0.1</v>
      </c>
      <c r="E23" s="210">
        <v>7</v>
      </c>
      <c r="F23" s="205" t="s">
        <v>99</v>
      </c>
      <c r="G23" s="205"/>
      <c r="H23" s="205"/>
      <c r="I23" s="210">
        <v>7</v>
      </c>
      <c r="J23" s="211" t="s">
        <v>99</v>
      </c>
      <c r="K23" s="212"/>
      <c r="L23" s="213"/>
      <c r="M23" s="210">
        <v>7</v>
      </c>
      <c r="N23" s="211"/>
      <c r="O23" s="212"/>
      <c r="P23" s="213"/>
      <c r="Q23" s="210">
        <v>7</v>
      </c>
      <c r="R23" s="211"/>
      <c r="S23" s="212"/>
      <c r="T23" s="213"/>
      <c r="U23" s="19"/>
    </row>
    <row r="24" spans="1:21" ht="50.25" customHeight="1" x14ac:dyDescent="0.35">
      <c r="A24" s="93"/>
      <c r="B24" s="83" t="s">
        <v>80</v>
      </c>
      <c r="C24" s="86"/>
      <c r="D24" s="42">
        <v>0.3</v>
      </c>
      <c r="E24" s="210">
        <v>7</v>
      </c>
      <c r="F24" s="205" t="s">
        <v>99</v>
      </c>
      <c r="G24" s="205"/>
      <c r="H24" s="205"/>
      <c r="I24" s="210">
        <v>7</v>
      </c>
      <c r="J24" s="215" t="s">
        <v>99</v>
      </c>
      <c r="K24" s="215"/>
      <c r="L24" s="215"/>
      <c r="M24" s="210">
        <v>7</v>
      </c>
      <c r="N24" s="215"/>
      <c r="O24" s="215"/>
      <c r="P24" s="215"/>
      <c r="Q24" s="210">
        <v>7</v>
      </c>
      <c r="R24" s="215"/>
      <c r="S24" s="215"/>
      <c r="T24" s="215"/>
      <c r="U24" s="19"/>
    </row>
    <row r="25" spans="1:21" ht="50.25" customHeight="1" x14ac:dyDescent="0.35">
      <c r="A25" s="93"/>
      <c r="B25" s="83" t="s">
        <v>81</v>
      </c>
      <c r="C25" s="86"/>
      <c r="D25" s="42">
        <v>0.1</v>
      </c>
      <c r="E25" s="210">
        <v>6.5</v>
      </c>
      <c r="F25" s="205" t="s">
        <v>120</v>
      </c>
      <c r="G25" s="205"/>
      <c r="H25" s="205"/>
      <c r="I25" s="210">
        <v>7</v>
      </c>
      <c r="J25" s="211" t="s">
        <v>129</v>
      </c>
      <c r="K25" s="212"/>
      <c r="L25" s="213"/>
      <c r="M25" s="210">
        <v>6.5</v>
      </c>
      <c r="N25" s="211" t="s">
        <v>139</v>
      </c>
      <c r="O25" s="212"/>
      <c r="P25" s="213"/>
      <c r="Q25" s="210">
        <v>7</v>
      </c>
      <c r="R25" s="211"/>
      <c r="S25" s="212"/>
      <c r="T25" s="213"/>
      <c r="U25" s="19"/>
    </row>
    <row r="26" spans="1:21" ht="26" x14ac:dyDescent="0.35">
      <c r="A26" s="94"/>
      <c r="B26" s="89" t="s">
        <v>66</v>
      </c>
      <c r="C26" s="91"/>
      <c r="D26" s="45"/>
      <c r="E26" s="46">
        <f>AVERAGE(E20:E25)</f>
        <v>6.875</v>
      </c>
      <c r="F26" s="113"/>
      <c r="G26" s="114"/>
      <c r="H26" s="115"/>
      <c r="I26" s="46">
        <f>AVERAGE(I20:I25)</f>
        <v>6.916666666666667</v>
      </c>
      <c r="J26" s="113"/>
      <c r="K26" s="114"/>
      <c r="L26" s="115"/>
      <c r="M26" s="46">
        <f>AVERAGE(M20:M25)</f>
        <v>6.833333333333333</v>
      </c>
      <c r="N26" s="113"/>
      <c r="O26" s="114"/>
      <c r="P26" s="115"/>
      <c r="Q26" s="46">
        <f>AVERAGE(Q20:Q25)</f>
        <v>7</v>
      </c>
      <c r="R26" s="113"/>
      <c r="S26" s="114"/>
      <c r="T26" s="115"/>
      <c r="U26" s="19"/>
    </row>
    <row r="27" spans="1:21" ht="26.25" customHeight="1" x14ac:dyDescent="0.35">
      <c r="A27" s="92" t="s">
        <v>68</v>
      </c>
      <c r="B27" s="87" t="s">
        <v>82</v>
      </c>
      <c r="C27" s="88"/>
      <c r="D27" s="30"/>
      <c r="E27" s="47"/>
      <c r="F27" s="48"/>
      <c r="G27" s="48"/>
      <c r="H27" s="48"/>
      <c r="I27" s="47"/>
      <c r="J27" s="49"/>
      <c r="K27" s="48"/>
      <c r="L27" s="48"/>
      <c r="M27" s="47"/>
      <c r="N27" s="49"/>
      <c r="O27" s="48"/>
      <c r="P27" s="48"/>
      <c r="Q27" s="47"/>
      <c r="R27" s="48"/>
      <c r="S27" s="48"/>
      <c r="T27" s="50"/>
      <c r="U27" s="19"/>
    </row>
    <row r="28" spans="1:21" ht="64.5" customHeight="1" x14ac:dyDescent="0.35">
      <c r="A28" s="93"/>
      <c r="B28" s="83" t="s">
        <v>83</v>
      </c>
      <c r="C28" s="86"/>
      <c r="D28" s="42">
        <v>0.3</v>
      </c>
      <c r="E28" s="210">
        <v>6.75</v>
      </c>
      <c r="F28" s="214" t="s">
        <v>121</v>
      </c>
      <c r="G28" s="214"/>
      <c r="H28" s="214"/>
      <c r="I28" s="210">
        <v>6.5</v>
      </c>
      <c r="J28" s="214" t="s">
        <v>130</v>
      </c>
      <c r="K28" s="214"/>
      <c r="L28" s="214"/>
      <c r="M28" s="210">
        <v>6.75</v>
      </c>
      <c r="N28" s="214"/>
      <c r="O28" s="214"/>
      <c r="P28" s="214"/>
      <c r="Q28" s="210">
        <v>7</v>
      </c>
      <c r="R28" s="214" t="s">
        <v>143</v>
      </c>
      <c r="S28" s="214"/>
      <c r="T28" s="214"/>
      <c r="U28" s="19"/>
    </row>
    <row r="29" spans="1:21" ht="49.5" customHeight="1" x14ac:dyDescent="0.35">
      <c r="A29" s="93"/>
      <c r="B29" s="83" t="s">
        <v>84</v>
      </c>
      <c r="C29" s="84"/>
      <c r="D29" s="51">
        <v>0.2</v>
      </c>
      <c r="E29" s="210">
        <v>7</v>
      </c>
      <c r="F29" s="214" t="s">
        <v>122</v>
      </c>
      <c r="G29" s="214"/>
      <c r="H29" s="214"/>
      <c r="I29" s="210">
        <v>7</v>
      </c>
      <c r="J29" s="214" t="s">
        <v>131</v>
      </c>
      <c r="K29" s="214"/>
      <c r="L29" s="214"/>
      <c r="M29" s="210">
        <v>6.75</v>
      </c>
      <c r="N29" s="214" t="s">
        <v>148</v>
      </c>
      <c r="O29" s="214"/>
      <c r="P29" s="214"/>
      <c r="Q29" s="210">
        <v>7</v>
      </c>
      <c r="R29" s="214" t="s">
        <v>145</v>
      </c>
      <c r="S29" s="214"/>
      <c r="T29" s="214"/>
      <c r="U29" s="19"/>
    </row>
    <row r="30" spans="1:21" ht="26" x14ac:dyDescent="0.35">
      <c r="A30" s="93"/>
      <c r="B30" s="85" t="s">
        <v>85</v>
      </c>
      <c r="C30" s="86"/>
      <c r="D30" s="42">
        <v>0.3</v>
      </c>
      <c r="E30" s="210">
        <v>6.75</v>
      </c>
      <c r="F30" s="214"/>
      <c r="G30" s="214"/>
      <c r="H30" s="214"/>
      <c r="I30" s="210">
        <v>6.5</v>
      </c>
      <c r="J30" s="214" t="s">
        <v>132</v>
      </c>
      <c r="K30" s="214"/>
      <c r="L30" s="214"/>
      <c r="M30" s="210">
        <v>7</v>
      </c>
      <c r="N30" s="214"/>
      <c r="O30" s="214"/>
      <c r="P30" s="214"/>
      <c r="Q30" s="210">
        <v>7</v>
      </c>
      <c r="R30" s="214"/>
      <c r="S30" s="214"/>
      <c r="T30" s="214"/>
      <c r="U30" s="19"/>
    </row>
    <row r="31" spans="1:21" ht="49.5" customHeight="1" x14ac:dyDescent="0.35">
      <c r="A31" s="93"/>
      <c r="B31" s="83" t="s">
        <v>86</v>
      </c>
      <c r="C31" s="86"/>
      <c r="D31" s="42">
        <v>0.1</v>
      </c>
      <c r="E31" s="210">
        <v>7</v>
      </c>
      <c r="F31" s="214" t="s">
        <v>99</v>
      </c>
      <c r="G31" s="214"/>
      <c r="H31" s="214"/>
      <c r="I31" s="210">
        <v>7</v>
      </c>
      <c r="J31" s="214"/>
      <c r="K31" s="214"/>
      <c r="L31" s="214"/>
      <c r="M31" s="210">
        <v>7</v>
      </c>
      <c r="N31" s="214"/>
      <c r="O31" s="214"/>
      <c r="P31" s="214"/>
      <c r="Q31" s="210">
        <v>7</v>
      </c>
      <c r="R31" s="214"/>
      <c r="S31" s="214"/>
      <c r="T31" s="214"/>
      <c r="U31" s="19"/>
    </row>
    <row r="32" spans="1:21" ht="49.5" customHeight="1" x14ac:dyDescent="0.35">
      <c r="A32" s="93"/>
      <c r="B32" s="83" t="s">
        <v>87</v>
      </c>
      <c r="C32" s="84"/>
      <c r="D32" s="51">
        <v>0.1</v>
      </c>
      <c r="E32" s="210">
        <v>7</v>
      </c>
      <c r="F32" s="214" t="s">
        <v>108</v>
      </c>
      <c r="G32" s="214"/>
      <c r="H32" s="214"/>
      <c r="I32" s="210">
        <v>6.75</v>
      </c>
      <c r="J32" s="214" t="s">
        <v>99</v>
      </c>
      <c r="K32" s="214"/>
      <c r="L32" s="214"/>
      <c r="M32" s="210">
        <v>6.75</v>
      </c>
      <c r="N32" s="214" t="s">
        <v>147</v>
      </c>
      <c r="O32" s="214"/>
      <c r="P32" s="214"/>
      <c r="Q32" s="210">
        <v>7</v>
      </c>
      <c r="R32" s="214" t="s">
        <v>146</v>
      </c>
      <c r="S32" s="214"/>
      <c r="T32" s="214"/>
      <c r="U32" s="19"/>
    </row>
    <row r="33" spans="1:21" ht="26" x14ac:dyDescent="0.35">
      <c r="A33" s="94"/>
      <c r="B33" s="89" t="s">
        <v>66</v>
      </c>
      <c r="C33" s="91"/>
      <c r="D33" s="45"/>
      <c r="E33" s="52"/>
      <c r="F33" s="89"/>
      <c r="G33" s="90"/>
      <c r="H33" s="91"/>
      <c r="I33" s="52"/>
      <c r="J33" s="89"/>
      <c r="K33" s="90"/>
      <c r="L33" s="91"/>
      <c r="M33" s="52"/>
      <c r="N33" s="89"/>
      <c r="O33" s="90"/>
      <c r="P33" s="91"/>
      <c r="Q33" s="52"/>
      <c r="R33" s="89"/>
      <c r="S33" s="90"/>
      <c r="T33" s="91"/>
      <c r="U33" s="19"/>
    </row>
    <row r="34" spans="1:21" ht="26.25" customHeight="1" x14ac:dyDescent="0.35">
      <c r="A34" s="95" t="s">
        <v>98</v>
      </c>
      <c r="B34" s="87" t="s">
        <v>100</v>
      </c>
      <c r="C34" s="88"/>
      <c r="D34" s="30"/>
      <c r="E34" s="47"/>
      <c r="F34" s="48"/>
      <c r="G34" s="48"/>
      <c r="H34" s="48"/>
      <c r="I34" s="47"/>
      <c r="J34" s="49"/>
      <c r="K34" s="48"/>
      <c r="L34" s="48"/>
      <c r="M34" s="47"/>
      <c r="N34" s="49"/>
      <c r="O34" s="48"/>
      <c r="P34" s="48"/>
      <c r="Q34" s="47"/>
      <c r="R34" s="48"/>
      <c r="S34" s="48"/>
      <c r="T34" s="50"/>
      <c r="U34" s="19"/>
    </row>
    <row r="35" spans="1:21" ht="57" customHeight="1" x14ac:dyDescent="0.35">
      <c r="A35" s="96"/>
      <c r="B35" s="85" t="s">
        <v>96</v>
      </c>
      <c r="C35" s="86"/>
      <c r="D35" s="42"/>
      <c r="E35" s="210">
        <v>7</v>
      </c>
      <c r="F35" s="214" t="s">
        <v>99</v>
      </c>
      <c r="G35" s="214"/>
      <c r="H35" s="214"/>
      <c r="I35" s="210">
        <v>7</v>
      </c>
      <c r="J35" s="214"/>
      <c r="K35" s="214"/>
      <c r="L35" s="214"/>
      <c r="M35" s="210">
        <v>7</v>
      </c>
      <c r="N35" s="214"/>
      <c r="O35" s="214"/>
      <c r="P35" s="214"/>
      <c r="Q35" s="210">
        <v>6.75</v>
      </c>
      <c r="R35" s="214" t="s">
        <v>142</v>
      </c>
      <c r="S35" s="214"/>
      <c r="T35" s="214"/>
      <c r="U35" s="19"/>
    </row>
    <row r="36" spans="1:21" ht="57" customHeight="1" x14ac:dyDescent="0.35">
      <c r="A36" s="96"/>
      <c r="B36" s="85" t="s">
        <v>97</v>
      </c>
      <c r="C36" s="86"/>
      <c r="D36" s="51"/>
      <c r="E36" s="210">
        <v>7</v>
      </c>
      <c r="F36" s="214" t="s">
        <v>99</v>
      </c>
      <c r="G36" s="214"/>
      <c r="H36" s="214"/>
      <c r="I36" s="210">
        <v>7</v>
      </c>
      <c r="J36" s="214"/>
      <c r="K36" s="214"/>
      <c r="L36" s="214"/>
      <c r="M36" s="210">
        <v>7</v>
      </c>
      <c r="N36" s="214"/>
      <c r="O36" s="214"/>
      <c r="P36" s="214"/>
      <c r="Q36" s="210">
        <v>7</v>
      </c>
      <c r="R36" s="214" t="s">
        <v>99</v>
      </c>
      <c r="S36" s="214"/>
      <c r="T36" s="214"/>
      <c r="U36" s="19"/>
    </row>
    <row r="37" spans="1:21" ht="26" x14ac:dyDescent="0.35">
      <c r="A37" s="96"/>
      <c r="B37" s="89" t="s">
        <v>66</v>
      </c>
      <c r="C37" s="91"/>
      <c r="D37" s="45"/>
      <c r="E37" s="52">
        <f>AVERAGE(E35:E36)</f>
        <v>7</v>
      </c>
      <c r="F37" s="89"/>
      <c r="G37" s="90"/>
      <c r="H37" s="91"/>
      <c r="I37" s="52">
        <f>AVERAGE(I35:I36)</f>
        <v>7</v>
      </c>
      <c r="J37" s="89"/>
      <c r="K37" s="90"/>
      <c r="L37" s="91"/>
      <c r="M37" s="52">
        <f>AVERAGE(M35:M36)</f>
        <v>7</v>
      </c>
      <c r="N37" s="89"/>
      <c r="O37" s="90"/>
      <c r="P37" s="91"/>
      <c r="Q37" s="52">
        <f>AVERAGE(Q35:Q36)</f>
        <v>6.875</v>
      </c>
      <c r="R37" s="89"/>
      <c r="S37" s="90"/>
      <c r="T37" s="91"/>
      <c r="U37" s="19"/>
    </row>
    <row r="38" spans="1:21" ht="21" customHeight="1" x14ac:dyDescent="0.35">
      <c r="A38" s="55"/>
      <c r="B38" s="164" t="s">
        <v>17</v>
      </c>
      <c r="C38" s="165"/>
      <c r="D38" s="53"/>
      <c r="E38" s="54">
        <f>AVERAGE(E37,E26,E18,E33)</f>
        <v>6.9722222222222223</v>
      </c>
      <c r="F38" s="164"/>
      <c r="G38" s="166"/>
      <c r="H38" s="165"/>
      <c r="I38" s="54">
        <f>AVERAGE(I37,I26,I18)</f>
        <v>7</v>
      </c>
      <c r="J38" s="164"/>
      <c r="K38" s="166"/>
      <c r="L38" s="165"/>
      <c r="M38" s="54">
        <f>AVERAGE(M37,M26,M18)</f>
        <v>6.9444444444444438</v>
      </c>
      <c r="N38" s="164"/>
      <c r="O38" s="166"/>
      <c r="P38" s="165"/>
      <c r="Q38" s="54">
        <f>AVERAGE(Q37,Q26,Q18)</f>
        <v>6.9444444444444438</v>
      </c>
      <c r="R38" s="164"/>
      <c r="S38" s="166"/>
      <c r="T38" s="165"/>
      <c r="U38" s="19"/>
    </row>
    <row r="39" spans="1:21" ht="82.5" customHeight="1" x14ac:dyDescent="0.35">
      <c r="A39" s="158" t="s">
        <v>67</v>
      </c>
      <c r="B39" s="159"/>
      <c r="C39" s="159"/>
      <c r="D39" s="160"/>
      <c r="E39" s="216" t="s">
        <v>123</v>
      </c>
      <c r="F39" s="217"/>
      <c r="G39" s="217"/>
      <c r="H39" s="218"/>
      <c r="I39" s="216" t="s">
        <v>133</v>
      </c>
      <c r="J39" s="217"/>
      <c r="K39" s="217"/>
      <c r="L39" s="218"/>
      <c r="M39" s="216" t="s">
        <v>140</v>
      </c>
      <c r="N39" s="217"/>
      <c r="O39" s="217"/>
      <c r="P39" s="218"/>
      <c r="Q39" s="216" t="s">
        <v>99</v>
      </c>
      <c r="R39" s="217"/>
      <c r="S39" s="217"/>
      <c r="T39" s="218"/>
      <c r="U39" s="19"/>
    </row>
    <row r="40" spans="1:21" x14ac:dyDescent="0.35">
      <c r="E40" s="16"/>
      <c r="M40" t="s">
        <v>141</v>
      </c>
    </row>
  </sheetData>
  <mergeCells count="186">
    <mergeCell ref="Q39:T39"/>
    <mergeCell ref="B38:C38"/>
    <mergeCell ref="F38:H38"/>
    <mergeCell ref="J38:L38"/>
    <mergeCell ref="N38:P38"/>
    <mergeCell ref="R38:T38"/>
    <mergeCell ref="R37:T37"/>
    <mergeCell ref="B37:C37"/>
    <mergeCell ref="F37:H37"/>
    <mergeCell ref="B23:C23"/>
    <mergeCell ref="B22:C22"/>
    <mergeCell ref="B24:C24"/>
    <mergeCell ref="B20:C20"/>
    <mergeCell ref="B21:C21"/>
    <mergeCell ref="B19:C19"/>
    <mergeCell ref="A39:D39"/>
    <mergeCell ref="N37:P37"/>
    <mergeCell ref="J37:L37"/>
    <mergeCell ref="E39:H39"/>
    <mergeCell ref="I39:L39"/>
    <mergeCell ref="M39:P39"/>
    <mergeCell ref="F22:H22"/>
    <mergeCell ref="F23:H23"/>
    <mergeCell ref="F24:H24"/>
    <mergeCell ref="B33:C33"/>
    <mergeCell ref="F33:H33"/>
    <mergeCell ref="F32:H32"/>
    <mergeCell ref="B31:C31"/>
    <mergeCell ref="F31:H31"/>
    <mergeCell ref="B25:C25"/>
    <mergeCell ref="N24:P24"/>
    <mergeCell ref="N25:P25"/>
    <mergeCell ref="F25:H25"/>
    <mergeCell ref="B14:C14"/>
    <mergeCell ref="E7:G7"/>
    <mergeCell ref="B11:C11"/>
    <mergeCell ref="F12:H12"/>
    <mergeCell ref="F13:H13"/>
    <mergeCell ref="F14:H14"/>
    <mergeCell ref="F17:H17"/>
    <mergeCell ref="F20:H20"/>
    <mergeCell ref="F21:H21"/>
    <mergeCell ref="C9:D9"/>
    <mergeCell ref="B16:C16"/>
    <mergeCell ref="F16:H16"/>
    <mergeCell ref="B15:C15"/>
    <mergeCell ref="F15:H15"/>
    <mergeCell ref="B17:C17"/>
    <mergeCell ref="O9:P9"/>
    <mergeCell ref="C5:D5"/>
    <mergeCell ref="B3:D3"/>
    <mergeCell ref="B13:C13"/>
    <mergeCell ref="C2:D2"/>
    <mergeCell ref="B4:D4"/>
    <mergeCell ref="J12:L12"/>
    <mergeCell ref="J13:L13"/>
    <mergeCell ref="M2:N2"/>
    <mergeCell ref="M8:P8"/>
    <mergeCell ref="I6:L6"/>
    <mergeCell ref="I3:J3"/>
    <mergeCell ref="E4:H4"/>
    <mergeCell ref="I5:L5"/>
    <mergeCell ref="K3:L3"/>
    <mergeCell ref="E3:H3"/>
    <mergeCell ref="K2:L2"/>
    <mergeCell ref="B12:C12"/>
    <mergeCell ref="M3:N3"/>
    <mergeCell ref="A1:H1"/>
    <mergeCell ref="I1:T1"/>
    <mergeCell ref="A2:A8"/>
    <mergeCell ref="E2:F2"/>
    <mergeCell ref="G2:H2"/>
    <mergeCell ref="E5:H5"/>
    <mergeCell ref="I2:J2"/>
    <mergeCell ref="Q6:T6"/>
    <mergeCell ref="Q7:S7"/>
    <mergeCell ref="I4:L4"/>
    <mergeCell ref="I7:K7"/>
    <mergeCell ref="E6:H6"/>
    <mergeCell ref="S2:T2"/>
    <mergeCell ref="Q4:T4"/>
    <mergeCell ref="M7:O7"/>
    <mergeCell ref="Q3:R3"/>
    <mergeCell ref="S3:T3"/>
    <mergeCell ref="M5:P5"/>
    <mergeCell ref="M6:P6"/>
    <mergeCell ref="M4:P4"/>
    <mergeCell ref="Q5:T5"/>
    <mergeCell ref="Q2:R2"/>
    <mergeCell ref="B8:D8"/>
    <mergeCell ref="I8:L8"/>
    <mergeCell ref="A11:A18"/>
    <mergeCell ref="A19:A26"/>
    <mergeCell ref="B6:D6"/>
    <mergeCell ref="C7:D7"/>
    <mergeCell ref="B10:T10"/>
    <mergeCell ref="B18:C18"/>
    <mergeCell ref="F18:H18"/>
    <mergeCell ref="J18:L18"/>
    <mergeCell ref="N18:P18"/>
    <mergeCell ref="R18:T18"/>
    <mergeCell ref="B26:C26"/>
    <mergeCell ref="F26:H26"/>
    <mergeCell ref="J26:L26"/>
    <mergeCell ref="N26:P26"/>
    <mergeCell ref="R26:T26"/>
    <mergeCell ref="Q9:R9"/>
    <mergeCell ref="Q8:T8"/>
    <mergeCell ref="E8:H8"/>
    <mergeCell ref="S9:T9"/>
    <mergeCell ref="E9:F9"/>
    <mergeCell ref="G9:H9"/>
    <mergeCell ref="I9:J9"/>
    <mergeCell ref="K9:L9"/>
    <mergeCell ref="M9:N9"/>
    <mergeCell ref="J14:L14"/>
    <mergeCell ref="J17:L17"/>
    <mergeCell ref="N12:P12"/>
    <mergeCell ref="N13:P13"/>
    <mergeCell ref="N14:P14"/>
    <mergeCell ref="N17:P17"/>
    <mergeCell ref="R12:T12"/>
    <mergeCell ref="R13:T13"/>
    <mergeCell ref="R14:T14"/>
    <mergeCell ref="R17:T17"/>
    <mergeCell ref="J16:L16"/>
    <mergeCell ref="N16:P16"/>
    <mergeCell ref="R16:T16"/>
    <mergeCell ref="J15:L15"/>
    <mergeCell ref="N15:P15"/>
    <mergeCell ref="R15:T15"/>
    <mergeCell ref="R20:T20"/>
    <mergeCell ref="R21:T21"/>
    <mergeCell ref="R22:T22"/>
    <mergeCell ref="R23:T23"/>
    <mergeCell ref="R24:T24"/>
    <mergeCell ref="R25:T25"/>
    <mergeCell ref="J35:L35"/>
    <mergeCell ref="R35:T35"/>
    <mergeCell ref="J20:L20"/>
    <mergeCell ref="J21:L21"/>
    <mergeCell ref="J22:L22"/>
    <mergeCell ref="J23:L23"/>
    <mergeCell ref="J24:L24"/>
    <mergeCell ref="J25:L25"/>
    <mergeCell ref="N20:P20"/>
    <mergeCell ref="N21:P21"/>
    <mergeCell ref="N22:P22"/>
    <mergeCell ref="N23:P23"/>
    <mergeCell ref="J32:L32"/>
    <mergeCell ref="N32:P32"/>
    <mergeCell ref="R32:T32"/>
    <mergeCell ref="J33:L33"/>
    <mergeCell ref="N30:P30"/>
    <mergeCell ref="R30:T30"/>
    <mergeCell ref="A27:A33"/>
    <mergeCell ref="A34:A37"/>
    <mergeCell ref="B27:C27"/>
    <mergeCell ref="B28:C28"/>
    <mergeCell ref="F28:H28"/>
    <mergeCell ref="J28:L28"/>
    <mergeCell ref="N28:P28"/>
    <mergeCell ref="R28:T28"/>
    <mergeCell ref="B29:C29"/>
    <mergeCell ref="F29:H29"/>
    <mergeCell ref="J29:L29"/>
    <mergeCell ref="N29:P29"/>
    <mergeCell ref="R29:T29"/>
    <mergeCell ref="B30:C30"/>
    <mergeCell ref="F30:H30"/>
    <mergeCell ref="J30:L30"/>
    <mergeCell ref="J31:L31"/>
    <mergeCell ref="N31:P31"/>
    <mergeCell ref="R31:T31"/>
    <mergeCell ref="B32:C32"/>
    <mergeCell ref="B35:C35"/>
    <mergeCell ref="B36:C36"/>
    <mergeCell ref="B34:C34"/>
    <mergeCell ref="R36:T36"/>
    <mergeCell ref="F35:H35"/>
    <mergeCell ref="F36:H36"/>
    <mergeCell ref="J36:L36"/>
    <mergeCell ref="N35:P35"/>
    <mergeCell ref="N36:P36"/>
    <mergeCell ref="N33:P33"/>
    <mergeCell ref="R33:T33"/>
  </mergeCells>
  <phoneticPr fontId="0" type="noConversion"/>
  <printOptions horizontalCentered="1" verticalCentered="1"/>
  <pageMargins left="0" right="0" top="0" bottom="0" header="0" footer="0"/>
  <pageSetup paperSize="9" scale="3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CE50-C54C-404C-B880-A4AB636C9DD2}">
  <sheetPr>
    <tabColor indexed="35"/>
  </sheetPr>
  <dimension ref="A1:U40"/>
  <sheetViews>
    <sheetView view="pageBreakPreview" topLeftCell="A24" zoomScale="40" zoomScaleNormal="40" zoomScaleSheetLayoutView="40" workbookViewId="0">
      <selection activeCell="E39" sqref="E39:T39"/>
    </sheetView>
  </sheetViews>
  <sheetFormatPr defaultRowHeight="14.5" x14ac:dyDescent="0.35"/>
  <cols>
    <col min="1" max="1" width="14.26953125" customWidth="1"/>
    <col min="2" max="2" width="45.453125" customWidth="1"/>
    <col min="3" max="3" width="39.7265625" customWidth="1"/>
    <col min="4" max="4" width="16.26953125" customWidth="1"/>
    <col min="5" max="5" width="15.7265625" customWidth="1"/>
    <col min="6" max="7" width="11.453125" customWidth="1"/>
    <col min="8" max="8" width="38.36328125" customWidth="1"/>
    <col min="9" max="9" width="15.7265625" customWidth="1"/>
    <col min="10" max="10" width="11.453125" customWidth="1"/>
    <col min="11" max="11" width="12.54296875" customWidth="1"/>
    <col min="12" max="12" width="37.36328125" customWidth="1"/>
    <col min="13" max="13" width="15.7265625" customWidth="1"/>
    <col min="14" max="14" width="12.81640625" customWidth="1"/>
    <col min="15" max="15" width="14.26953125" customWidth="1"/>
    <col min="16" max="16" width="27.26953125" customWidth="1"/>
    <col min="17" max="17" width="15.7265625" customWidth="1"/>
    <col min="18" max="18" width="10.453125" customWidth="1"/>
    <col min="19" max="19" width="11" customWidth="1"/>
    <col min="20" max="20" width="37.1796875" customWidth="1"/>
  </cols>
  <sheetData>
    <row r="1" spans="1:21" ht="128.5" customHeight="1" x14ac:dyDescent="0.75">
      <c r="A1" s="124"/>
      <c r="B1" s="124"/>
      <c r="C1" s="124"/>
      <c r="D1" s="124"/>
      <c r="E1" s="124"/>
      <c r="F1" s="124"/>
      <c r="G1" s="124"/>
      <c r="H1" s="124"/>
      <c r="I1" s="125" t="s">
        <v>101</v>
      </c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</row>
    <row r="2" spans="1:21" ht="51.5" customHeight="1" x14ac:dyDescent="0.35">
      <c r="A2" s="127" t="s">
        <v>0</v>
      </c>
      <c r="B2" s="31" t="s">
        <v>1</v>
      </c>
      <c r="C2" s="144" t="str">
        <f>Tabelle!C32</f>
        <v>MSPT,Chennai</v>
      </c>
      <c r="D2" s="145"/>
      <c r="E2" s="128" t="s">
        <v>55</v>
      </c>
      <c r="F2" s="129"/>
      <c r="G2" s="130" t="s">
        <v>56</v>
      </c>
      <c r="H2" s="130"/>
      <c r="I2" s="131" t="s">
        <v>2</v>
      </c>
      <c r="J2" s="131"/>
      <c r="K2" s="152" t="str">
        <f>IF(Tabelle!C11="","",Tabelle!C11)</f>
        <v>235/60R18</v>
      </c>
      <c r="L2" s="153"/>
      <c r="M2" s="131" t="s">
        <v>3</v>
      </c>
      <c r="N2" s="131"/>
      <c r="O2" s="32">
        <f>IF(Tabelle!D34="","",Tabelle!D34)</f>
        <v>32</v>
      </c>
      <c r="P2" s="33" t="s">
        <v>62</v>
      </c>
      <c r="Q2" s="131" t="s">
        <v>4</v>
      </c>
      <c r="R2" s="131"/>
      <c r="S2" s="138">
        <f>Tabelle!H5</f>
        <v>46217</v>
      </c>
      <c r="T2" s="139"/>
    </row>
    <row r="3" spans="1:21" ht="26" x14ac:dyDescent="0.6">
      <c r="A3" s="127"/>
      <c r="B3" s="141"/>
      <c r="C3" s="142"/>
      <c r="D3" s="143"/>
      <c r="E3" s="128"/>
      <c r="F3" s="151"/>
      <c r="G3" s="151"/>
      <c r="H3" s="117"/>
      <c r="I3" s="131" t="s">
        <v>5</v>
      </c>
      <c r="J3" s="131"/>
      <c r="K3" s="149" t="str">
        <f>IF(Tabelle!C37="","",Tabelle!C37)</f>
        <v>7.0 J x 18(Alloy Rims)</v>
      </c>
      <c r="L3" s="150"/>
      <c r="M3" s="154" t="s">
        <v>60</v>
      </c>
      <c r="N3" s="155"/>
      <c r="O3" s="32">
        <f>IF(Tabelle!F34="","",Tabelle!F34)</f>
        <v>32</v>
      </c>
      <c r="P3" s="33" t="s">
        <v>62</v>
      </c>
      <c r="Q3" s="131" t="s">
        <v>6</v>
      </c>
      <c r="R3" s="131"/>
      <c r="S3" s="130" t="s">
        <v>65</v>
      </c>
      <c r="T3" s="130"/>
    </row>
    <row r="4" spans="1:21" ht="26" x14ac:dyDescent="0.35">
      <c r="A4" s="127"/>
      <c r="B4" s="146"/>
      <c r="C4" s="147"/>
      <c r="D4" s="148"/>
      <c r="E4" s="134" t="s">
        <v>7</v>
      </c>
      <c r="F4" s="134"/>
      <c r="G4" s="134"/>
      <c r="H4" s="134"/>
      <c r="I4" s="134" t="s">
        <v>8</v>
      </c>
      <c r="J4" s="134"/>
      <c r="K4" s="134"/>
      <c r="L4" s="134"/>
      <c r="M4" s="134" t="s">
        <v>9</v>
      </c>
      <c r="N4" s="134"/>
      <c r="O4" s="134"/>
      <c r="P4" s="134"/>
      <c r="Q4" s="134" t="s">
        <v>10</v>
      </c>
      <c r="R4" s="134"/>
      <c r="S4" s="134"/>
      <c r="T4" s="134"/>
    </row>
    <row r="5" spans="1:21" ht="26" x14ac:dyDescent="0.35">
      <c r="A5" s="127"/>
      <c r="B5" s="34" t="s">
        <v>11</v>
      </c>
      <c r="C5" s="135" t="str">
        <f>IF(Tabelle!C5="","",Tabelle!C5)</f>
        <v>NA</v>
      </c>
      <c r="D5" s="140"/>
      <c r="E5" s="119" t="str">
        <f>IF(Tabelle!D13="","",Tabelle!D13)</f>
        <v>JK Tyre</v>
      </c>
      <c r="F5" s="120"/>
      <c r="G5" s="120"/>
      <c r="H5" s="121"/>
      <c r="I5" s="118" t="str">
        <f>IF(Tabelle!D15="","",Tabelle!D15)</f>
        <v>JK Tyre</v>
      </c>
      <c r="J5" s="118"/>
      <c r="K5" s="118"/>
      <c r="L5" s="118"/>
      <c r="M5" s="118" t="str">
        <f>IF(Tabelle!D17="","",Tabelle!D17)</f>
        <v>JK Tyre</v>
      </c>
      <c r="N5" s="118"/>
      <c r="O5" s="118"/>
      <c r="P5" s="118"/>
      <c r="Q5" s="118" t="str">
        <f>Tabelle!D19</f>
        <v>JK Tyre</v>
      </c>
      <c r="R5" s="118"/>
      <c r="S5" s="118"/>
      <c r="T5" s="118"/>
    </row>
    <row r="6" spans="1:21" ht="26" x14ac:dyDescent="0.6">
      <c r="A6" s="127"/>
      <c r="B6" s="106" t="s">
        <v>12</v>
      </c>
      <c r="C6" s="107"/>
      <c r="D6" s="108"/>
      <c r="E6" s="135" t="str">
        <f>IF(Tabelle!C13="","",Tabelle!C13)</f>
        <v>MY6</v>
      </c>
      <c r="F6" s="136"/>
      <c r="G6" s="136"/>
      <c r="H6" s="137"/>
      <c r="I6" s="132" t="str">
        <f>IF(Tabelle!C21="","",Tabelle!C21)</f>
        <v/>
      </c>
      <c r="J6" s="132"/>
      <c r="K6" s="132"/>
      <c r="L6" s="132"/>
      <c r="M6" s="132" t="str">
        <f>IF(Tabelle!C23="","",Tabelle!C23)</f>
        <v/>
      </c>
      <c r="N6" s="132"/>
      <c r="O6" s="132"/>
      <c r="P6" s="132"/>
      <c r="Q6" s="132">
        <f>Tabelle!C25</f>
        <v>0</v>
      </c>
      <c r="R6" s="132"/>
      <c r="S6" s="132"/>
      <c r="T6" s="132"/>
    </row>
    <row r="7" spans="1:21" ht="26" x14ac:dyDescent="0.6">
      <c r="A7" s="127"/>
      <c r="B7" s="34" t="s">
        <v>13</v>
      </c>
      <c r="C7" s="109" t="s">
        <v>14</v>
      </c>
      <c r="D7" s="108"/>
      <c r="E7" s="156" t="str">
        <f>Tabelle!G13</f>
        <v>103H</v>
      </c>
      <c r="F7" s="151"/>
      <c r="G7" s="117"/>
      <c r="H7" s="35">
        <f>Tabelle!H13</f>
        <v>1826</v>
      </c>
      <c r="I7" s="133" t="str">
        <f>Tabelle!G15</f>
        <v>103H</v>
      </c>
      <c r="J7" s="118"/>
      <c r="K7" s="118"/>
      <c r="L7" s="35">
        <f>Tabelle!H15</f>
        <v>1826</v>
      </c>
      <c r="M7" s="133" t="str">
        <f>Tabelle!G17</f>
        <v>103H</v>
      </c>
      <c r="N7" s="118"/>
      <c r="O7" s="118"/>
      <c r="P7" s="35">
        <f>Tabelle!H17</f>
        <v>0</v>
      </c>
      <c r="Q7" s="133" t="str">
        <f>Tabelle!G19</f>
        <v>103H</v>
      </c>
      <c r="R7" s="118"/>
      <c r="S7" s="118"/>
      <c r="T7" s="35">
        <f>Tabelle!H19</f>
        <v>0</v>
      </c>
    </row>
    <row r="8" spans="1:21" ht="26" x14ac:dyDescent="0.35">
      <c r="A8" s="127"/>
      <c r="B8" s="106" t="s">
        <v>15</v>
      </c>
      <c r="C8" s="107"/>
      <c r="D8" s="108"/>
      <c r="E8" s="119" t="str">
        <f>IF(Tabelle!F13="","",Tabelle!F13)</f>
        <v>Ranger HP s</v>
      </c>
      <c r="F8" s="120"/>
      <c r="G8" s="120"/>
      <c r="H8" s="121"/>
      <c r="I8" s="118" t="str">
        <f>IF(Tabelle!F15="","",Tabelle!F15)</f>
        <v>Ranger HP s</v>
      </c>
      <c r="J8" s="118"/>
      <c r="K8" s="118"/>
      <c r="L8" s="118"/>
      <c r="M8" s="118" t="str">
        <f>IF(Tabelle!F17="","",Tabelle!F17)</f>
        <v>Ranger HP s</v>
      </c>
      <c r="N8" s="118"/>
      <c r="O8" s="118"/>
      <c r="P8" s="118"/>
      <c r="Q8" s="118" t="str">
        <f>Tabelle!F19</f>
        <v>Ranger HP s</v>
      </c>
      <c r="R8" s="118"/>
      <c r="S8" s="118"/>
      <c r="T8" s="118"/>
    </row>
    <row r="9" spans="1:21" ht="26" x14ac:dyDescent="0.6">
      <c r="A9" s="28"/>
      <c r="B9" s="36" t="s">
        <v>63</v>
      </c>
      <c r="C9" s="106" t="s">
        <v>64</v>
      </c>
      <c r="D9" s="108"/>
      <c r="E9" s="116">
        <v>36</v>
      </c>
      <c r="F9" s="117"/>
      <c r="G9" s="122"/>
      <c r="H9" s="123"/>
      <c r="I9" s="116">
        <v>36</v>
      </c>
      <c r="J9" s="117"/>
      <c r="K9" s="122"/>
      <c r="L9" s="123"/>
      <c r="M9" s="116">
        <v>37</v>
      </c>
      <c r="N9" s="117"/>
      <c r="O9" s="122"/>
      <c r="P9" s="123"/>
      <c r="Q9" s="116">
        <v>36</v>
      </c>
      <c r="R9" s="117"/>
      <c r="S9" s="122"/>
      <c r="T9" s="123"/>
    </row>
    <row r="10" spans="1:21" ht="31" x14ac:dyDescent="0.35">
      <c r="A10" s="20"/>
      <c r="B10" s="110" t="s">
        <v>103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2"/>
      <c r="U10" s="19"/>
    </row>
    <row r="11" spans="1:21" ht="26.25" customHeight="1" x14ac:dyDescent="0.35">
      <c r="A11" s="92" t="s">
        <v>72</v>
      </c>
      <c r="B11" s="157" t="s">
        <v>70</v>
      </c>
      <c r="C11" s="157"/>
      <c r="D11" s="29" t="s">
        <v>76</v>
      </c>
      <c r="E11" s="37"/>
      <c r="F11" s="38"/>
      <c r="G11" s="38"/>
      <c r="H11" s="38"/>
      <c r="I11" s="39"/>
      <c r="J11" s="38"/>
      <c r="K11" s="38"/>
      <c r="L11" s="38"/>
      <c r="M11" s="39"/>
      <c r="N11" s="40"/>
      <c r="O11" s="38"/>
      <c r="P11" s="38"/>
      <c r="Q11" s="39"/>
      <c r="R11" s="38"/>
      <c r="S11" s="38"/>
      <c r="T11" s="41"/>
      <c r="U11" s="19"/>
    </row>
    <row r="12" spans="1:21" ht="66.5" customHeight="1" x14ac:dyDescent="0.35">
      <c r="A12" s="93"/>
      <c r="B12" s="83" t="s">
        <v>73</v>
      </c>
      <c r="C12" s="86"/>
      <c r="D12" s="42">
        <v>0.1</v>
      </c>
      <c r="E12" s="43"/>
      <c r="F12" s="104"/>
      <c r="G12" s="104"/>
      <c r="H12" s="104"/>
      <c r="I12" s="43"/>
      <c r="J12" s="104"/>
      <c r="K12" s="104"/>
      <c r="L12" s="104"/>
      <c r="M12" s="43"/>
      <c r="N12" s="104"/>
      <c r="O12" s="104"/>
      <c r="P12" s="104"/>
      <c r="Q12" s="43"/>
      <c r="R12" s="105"/>
      <c r="S12" s="105"/>
      <c r="T12" s="105"/>
      <c r="U12" s="19"/>
    </row>
    <row r="13" spans="1:21" ht="90" customHeight="1" x14ac:dyDescent="0.35">
      <c r="A13" s="93"/>
      <c r="B13" s="83" t="s">
        <v>74</v>
      </c>
      <c r="C13" s="86"/>
      <c r="D13" s="42">
        <v>0.4</v>
      </c>
      <c r="E13" s="43"/>
      <c r="F13" s="104"/>
      <c r="G13" s="104"/>
      <c r="H13" s="104"/>
      <c r="I13" s="43"/>
      <c r="J13" s="104"/>
      <c r="K13" s="104"/>
      <c r="L13" s="104"/>
      <c r="M13" s="43"/>
      <c r="N13" s="104"/>
      <c r="O13" s="104"/>
      <c r="P13" s="104"/>
      <c r="Q13" s="43"/>
      <c r="R13" s="104"/>
      <c r="S13" s="104"/>
      <c r="T13" s="104"/>
      <c r="U13" s="19"/>
    </row>
    <row r="14" spans="1:21" ht="82.5" customHeight="1" x14ac:dyDescent="0.35">
      <c r="A14" s="93"/>
      <c r="B14" s="83" t="s">
        <v>88</v>
      </c>
      <c r="C14" s="86"/>
      <c r="D14" s="42">
        <v>0.3</v>
      </c>
      <c r="E14" s="43"/>
      <c r="F14" s="104"/>
      <c r="G14" s="104"/>
      <c r="H14" s="104"/>
      <c r="I14" s="43"/>
      <c r="J14" s="104"/>
      <c r="K14" s="104"/>
      <c r="L14" s="104"/>
      <c r="M14" s="43"/>
      <c r="N14" s="101"/>
      <c r="O14" s="102"/>
      <c r="P14" s="103"/>
      <c r="Q14" s="43"/>
      <c r="R14" s="104"/>
      <c r="S14" s="104"/>
      <c r="T14" s="104"/>
      <c r="U14" s="19"/>
    </row>
    <row r="15" spans="1:21" ht="74" customHeight="1" x14ac:dyDescent="0.35">
      <c r="A15" s="93"/>
      <c r="B15" s="83" t="s">
        <v>75</v>
      </c>
      <c r="C15" s="86"/>
      <c r="D15" s="42">
        <v>0.2</v>
      </c>
      <c r="E15" s="44"/>
      <c r="F15" s="104"/>
      <c r="G15" s="104"/>
      <c r="H15" s="104"/>
      <c r="I15" s="43"/>
      <c r="J15" s="104"/>
      <c r="K15" s="104"/>
      <c r="L15" s="104"/>
      <c r="M15" s="44"/>
      <c r="N15" s="104"/>
      <c r="O15" s="104"/>
      <c r="P15" s="104"/>
      <c r="Q15" s="44"/>
      <c r="R15" s="104"/>
      <c r="S15" s="104"/>
      <c r="T15" s="104"/>
      <c r="U15" s="19"/>
    </row>
    <row r="16" spans="1:21" ht="65.25" customHeight="1" x14ac:dyDescent="0.35">
      <c r="A16" s="93"/>
      <c r="B16" s="83" t="s">
        <v>94</v>
      </c>
      <c r="C16" s="86"/>
      <c r="D16" s="42"/>
      <c r="E16" s="44"/>
      <c r="F16" s="104"/>
      <c r="G16" s="104"/>
      <c r="H16" s="104"/>
      <c r="I16" s="43"/>
      <c r="J16" s="104"/>
      <c r="K16" s="104"/>
      <c r="L16" s="104"/>
      <c r="M16" s="44"/>
      <c r="N16" s="104"/>
      <c r="O16" s="104"/>
      <c r="P16" s="104"/>
      <c r="Q16" s="44"/>
      <c r="R16" s="104"/>
      <c r="S16" s="104"/>
      <c r="T16" s="104"/>
      <c r="U16" s="19"/>
    </row>
    <row r="17" spans="1:21" ht="65.25" customHeight="1" x14ac:dyDescent="0.35">
      <c r="A17" s="93"/>
      <c r="B17" s="83" t="s">
        <v>95</v>
      </c>
      <c r="C17" s="86"/>
      <c r="D17" s="42"/>
      <c r="E17" s="44"/>
      <c r="F17" s="104"/>
      <c r="G17" s="104"/>
      <c r="H17" s="104"/>
      <c r="I17" s="43"/>
      <c r="J17" s="104"/>
      <c r="K17" s="104"/>
      <c r="L17" s="104"/>
      <c r="M17" s="44"/>
      <c r="N17" s="104"/>
      <c r="O17" s="104"/>
      <c r="P17" s="104"/>
      <c r="Q17" s="44"/>
      <c r="R17" s="104"/>
      <c r="S17" s="104"/>
      <c r="T17" s="104"/>
      <c r="U17" s="19"/>
    </row>
    <row r="18" spans="1:21" ht="26" x14ac:dyDescent="0.35">
      <c r="A18" s="94"/>
      <c r="B18" s="89" t="s">
        <v>66</v>
      </c>
      <c r="C18" s="91"/>
      <c r="D18" s="45"/>
      <c r="E18" s="46" t="e">
        <f>AVERAGE(E12:E17)</f>
        <v>#DIV/0!</v>
      </c>
      <c r="F18" s="113"/>
      <c r="G18" s="114"/>
      <c r="H18" s="115"/>
      <c r="I18" s="46" t="e">
        <f>AVERAGE(I12:I17)</f>
        <v>#DIV/0!</v>
      </c>
      <c r="J18" s="113"/>
      <c r="K18" s="114"/>
      <c r="L18" s="115"/>
      <c r="M18" s="46" t="e">
        <f>AVERAGE(M12:M17)</f>
        <v>#DIV/0!</v>
      </c>
      <c r="N18" s="113"/>
      <c r="O18" s="114"/>
      <c r="P18" s="115"/>
      <c r="Q18" s="46" t="e">
        <f>AVERAGE(Q12:Q17)</f>
        <v>#DIV/0!</v>
      </c>
      <c r="R18" s="113"/>
      <c r="S18" s="114"/>
      <c r="T18" s="115"/>
      <c r="U18" s="19"/>
    </row>
    <row r="19" spans="1:21" ht="26.25" customHeight="1" x14ac:dyDescent="0.35">
      <c r="A19" s="92" t="s">
        <v>16</v>
      </c>
      <c r="B19" s="87" t="s">
        <v>69</v>
      </c>
      <c r="C19" s="88"/>
      <c r="D19" s="30"/>
      <c r="E19" s="47"/>
      <c r="F19" s="48"/>
      <c r="G19" s="48"/>
      <c r="H19" s="48"/>
      <c r="I19" s="47"/>
      <c r="J19" s="48"/>
      <c r="K19" s="48"/>
      <c r="L19" s="48"/>
      <c r="M19" s="47"/>
      <c r="N19" s="49"/>
      <c r="O19" s="48"/>
      <c r="P19" s="48"/>
      <c r="Q19" s="47"/>
      <c r="R19" s="48"/>
      <c r="S19" s="48"/>
      <c r="T19" s="50"/>
      <c r="U19" s="19"/>
    </row>
    <row r="20" spans="1:21" ht="50.25" customHeight="1" x14ac:dyDescent="0.35">
      <c r="A20" s="93"/>
      <c r="B20" s="83" t="s">
        <v>77</v>
      </c>
      <c r="C20" s="86"/>
      <c r="D20" s="42">
        <v>0.2</v>
      </c>
      <c r="E20" s="44"/>
      <c r="F20" s="104"/>
      <c r="G20" s="104"/>
      <c r="H20" s="104"/>
      <c r="I20" s="44"/>
      <c r="J20" s="104"/>
      <c r="K20" s="104"/>
      <c r="L20" s="104"/>
      <c r="M20" s="44"/>
      <c r="N20" s="97"/>
      <c r="O20" s="98"/>
      <c r="P20" s="99"/>
      <c r="Q20" s="44"/>
      <c r="R20" s="97"/>
      <c r="S20" s="98"/>
      <c r="T20" s="99"/>
      <c r="U20" s="19"/>
    </row>
    <row r="21" spans="1:21" ht="71.25" customHeight="1" x14ac:dyDescent="0.35">
      <c r="A21" s="93"/>
      <c r="B21" s="83" t="s">
        <v>78</v>
      </c>
      <c r="C21" s="86"/>
      <c r="D21" s="42">
        <v>0.2</v>
      </c>
      <c r="E21" s="44"/>
      <c r="F21" s="104"/>
      <c r="G21" s="104"/>
      <c r="H21" s="104"/>
      <c r="I21" s="44"/>
      <c r="J21" s="104"/>
      <c r="K21" s="104"/>
      <c r="L21" s="104"/>
      <c r="M21" s="44"/>
      <c r="N21" s="82"/>
      <c r="O21" s="82"/>
      <c r="P21" s="82"/>
      <c r="Q21" s="44"/>
      <c r="R21" s="82"/>
      <c r="S21" s="82"/>
      <c r="T21" s="82"/>
      <c r="U21" s="19"/>
    </row>
    <row r="22" spans="1:21" ht="76.5" customHeight="1" x14ac:dyDescent="0.35">
      <c r="A22" s="93"/>
      <c r="B22" s="83" t="s">
        <v>79</v>
      </c>
      <c r="C22" s="86"/>
      <c r="D22" s="42">
        <v>0.1</v>
      </c>
      <c r="E22" s="43"/>
      <c r="F22" s="104"/>
      <c r="G22" s="104"/>
      <c r="H22" s="104"/>
      <c r="I22" s="44"/>
      <c r="J22" s="104"/>
      <c r="K22" s="104"/>
      <c r="L22" s="104"/>
      <c r="M22" s="43"/>
      <c r="N22" s="82"/>
      <c r="O22" s="82"/>
      <c r="P22" s="82"/>
      <c r="Q22" s="43"/>
      <c r="R22" s="104"/>
      <c r="S22" s="104"/>
      <c r="T22" s="104"/>
      <c r="U22" s="19"/>
    </row>
    <row r="23" spans="1:21" ht="50.25" customHeight="1" x14ac:dyDescent="0.35">
      <c r="A23" s="93"/>
      <c r="B23" s="83" t="s">
        <v>104</v>
      </c>
      <c r="C23" s="86"/>
      <c r="D23" s="42">
        <v>0.1</v>
      </c>
      <c r="E23" s="44"/>
      <c r="F23" s="104"/>
      <c r="G23" s="104"/>
      <c r="H23" s="104"/>
      <c r="I23" s="44"/>
      <c r="J23" s="104"/>
      <c r="K23" s="104"/>
      <c r="L23" s="104"/>
      <c r="M23" s="44"/>
      <c r="N23" s="97"/>
      <c r="O23" s="98"/>
      <c r="P23" s="99"/>
      <c r="Q23" s="44"/>
      <c r="R23" s="97"/>
      <c r="S23" s="98"/>
      <c r="T23" s="99"/>
      <c r="U23" s="19"/>
    </row>
    <row r="24" spans="1:21" ht="50.25" customHeight="1" x14ac:dyDescent="0.35">
      <c r="A24" s="93"/>
      <c r="B24" s="83" t="s">
        <v>80</v>
      </c>
      <c r="C24" s="86"/>
      <c r="D24" s="42">
        <v>0.3</v>
      </c>
      <c r="E24" s="44"/>
      <c r="F24" s="104"/>
      <c r="G24" s="104"/>
      <c r="H24" s="104"/>
      <c r="I24" s="44"/>
      <c r="J24" s="104"/>
      <c r="K24" s="104"/>
      <c r="L24" s="104"/>
      <c r="M24" s="44"/>
      <c r="N24" s="100"/>
      <c r="O24" s="100"/>
      <c r="P24" s="100"/>
      <c r="Q24" s="44"/>
      <c r="R24" s="100"/>
      <c r="S24" s="100"/>
      <c r="T24" s="100"/>
      <c r="U24" s="19"/>
    </row>
    <row r="25" spans="1:21" ht="50.25" customHeight="1" x14ac:dyDescent="0.35">
      <c r="A25" s="93"/>
      <c r="B25" s="83" t="s">
        <v>81</v>
      </c>
      <c r="C25" s="86"/>
      <c r="D25" s="42">
        <v>0.1</v>
      </c>
      <c r="E25" s="44"/>
      <c r="F25" s="104"/>
      <c r="G25" s="104"/>
      <c r="H25" s="104"/>
      <c r="I25" s="44"/>
      <c r="J25" s="104"/>
      <c r="K25" s="104"/>
      <c r="L25" s="104"/>
      <c r="M25" s="44"/>
      <c r="N25" s="97"/>
      <c r="O25" s="98"/>
      <c r="P25" s="99"/>
      <c r="Q25" s="44"/>
      <c r="R25" s="97"/>
      <c r="S25" s="98"/>
      <c r="T25" s="99"/>
      <c r="U25" s="19"/>
    </row>
    <row r="26" spans="1:21" ht="26" x14ac:dyDescent="0.35">
      <c r="A26" s="94"/>
      <c r="B26" s="89" t="s">
        <v>66</v>
      </c>
      <c r="C26" s="91"/>
      <c r="D26" s="45"/>
      <c r="E26" s="46" t="e">
        <f>AVERAGE(E20:E25)</f>
        <v>#DIV/0!</v>
      </c>
      <c r="F26" s="113"/>
      <c r="G26" s="114"/>
      <c r="H26" s="115"/>
      <c r="I26" s="46" t="e">
        <f>AVERAGE(I20:I25)</f>
        <v>#DIV/0!</v>
      </c>
      <c r="J26" s="113"/>
      <c r="K26" s="114"/>
      <c r="L26" s="115"/>
      <c r="M26" s="46" t="e">
        <f>AVERAGE(M20:M25)</f>
        <v>#DIV/0!</v>
      </c>
      <c r="N26" s="113"/>
      <c r="O26" s="114"/>
      <c r="P26" s="115"/>
      <c r="Q26" s="46" t="e">
        <f>AVERAGE(Q20:Q25)</f>
        <v>#DIV/0!</v>
      </c>
      <c r="R26" s="113"/>
      <c r="S26" s="114"/>
      <c r="T26" s="115"/>
      <c r="U26" s="19"/>
    </row>
    <row r="27" spans="1:21" ht="26.25" customHeight="1" x14ac:dyDescent="0.35">
      <c r="A27" s="92" t="s">
        <v>68</v>
      </c>
      <c r="B27" s="87" t="s">
        <v>82</v>
      </c>
      <c r="C27" s="88"/>
      <c r="D27" s="30"/>
      <c r="E27" s="47"/>
      <c r="F27" s="48"/>
      <c r="G27" s="48"/>
      <c r="H27" s="48"/>
      <c r="I27" s="47"/>
      <c r="J27" s="48"/>
      <c r="K27" s="48"/>
      <c r="L27" s="48"/>
      <c r="M27" s="47"/>
      <c r="N27" s="49"/>
      <c r="O27" s="48"/>
      <c r="P27" s="48"/>
      <c r="Q27" s="47"/>
      <c r="R27" s="48"/>
      <c r="S27" s="48"/>
      <c r="T27" s="50"/>
      <c r="U27" s="19"/>
    </row>
    <row r="28" spans="1:21" ht="64.5" customHeight="1" x14ac:dyDescent="0.35">
      <c r="A28" s="93"/>
      <c r="B28" s="83" t="s">
        <v>83</v>
      </c>
      <c r="C28" s="86"/>
      <c r="D28" s="42">
        <v>0.3</v>
      </c>
      <c r="E28" s="44"/>
      <c r="F28" s="104"/>
      <c r="G28" s="104"/>
      <c r="H28" s="104"/>
      <c r="I28" s="44"/>
      <c r="J28" s="82"/>
      <c r="K28" s="82"/>
      <c r="L28" s="82"/>
      <c r="M28" s="44"/>
      <c r="N28" s="82"/>
      <c r="O28" s="82"/>
      <c r="P28" s="82"/>
      <c r="Q28" s="44"/>
      <c r="R28" s="82"/>
      <c r="S28" s="82"/>
      <c r="T28" s="82"/>
      <c r="U28" s="19"/>
    </row>
    <row r="29" spans="1:21" ht="49.5" customHeight="1" x14ac:dyDescent="0.35">
      <c r="A29" s="93"/>
      <c r="B29" s="83" t="s">
        <v>84</v>
      </c>
      <c r="C29" s="84"/>
      <c r="D29" s="51">
        <v>0.2</v>
      </c>
      <c r="E29" s="44"/>
      <c r="F29" s="104"/>
      <c r="G29" s="104"/>
      <c r="H29" s="104"/>
      <c r="I29" s="44"/>
      <c r="J29" s="82"/>
      <c r="K29" s="82"/>
      <c r="L29" s="82"/>
      <c r="M29" s="44"/>
      <c r="N29" s="82"/>
      <c r="O29" s="82"/>
      <c r="P29" s="82"/>
      <c r="Q29" s="44"/>
      <c r="R29" s="82"/>
      <c r="S29" s="82"/>
      <c r="T29" s="82"/>
      <c r="U29" s="19"/>
    </row>
    <row r="30" spans="1:21" ht="26" x14ac:dyDescent="0.35">
      <c r="A30" s="93"/>
      <c r="B30" s="85" t="s">
        <v>85</v>
      </c>
      <c r="C30" s="86"/>
      <c r="D30" s="42">
        <v>0.3</v>
      </c>
      <c r="E30" s="44"/>
      <c r="F30" s="104"/>
      <c r="G30" s="104"/>
      <c r="H30" s="104"/>
      <c r="I30" s="44"/>
      <c r="J30" s="82"/>
      <c r="K30" s="82"/>
      <c r="L30" s="82"/>
      <c r="M30" s="44"/>
      <c r="N30" s="82"/>
      <c r="O30" s="82"/>
      <c r="P30" s="82"/>
      <c r="Q30" s="44"/>
      <c r="R30" s="82"/>
      <c r="S30" s="82"/>
      <c r="T30" s="82"/>
      <c r="U30" s="19"/>
    </row>
    <row r="31" spans="1:21" ht="49.5" customHeight="1" x14ac:dyDescent="0.35">
      <c r="A31" s="93"/>
      <c r="B31" s="83" t="s">
        <v>86</v>
      </c>
      <c r="C31" s="86"/>
      <c r="D31" s="42">
        <v>0.1</v>
      </c>
      <c r="E31" s="44"/>
      <c r="F31" s="104"/>
      <c r="G31" s="104"/>
      <c r="H31" s="104"/>
      <c r="I31" s="44"/>
      <c r="J31" s="82"/>
      <c r="K31" s="82"/>
      <c r="L31" s="82"/>
      <c r="M31" s="44"/>
      <c r="N31" s="82"/>
      <c r="O31" s="82"/>
      <c r="P31" s="82"/>
      <c r="Q31" s="44"/>
      <c r="R31" s="82"/>
      <c r="S31" s="82"/>
      <c r="T31" s="82"/>
      <c r="U31" s="19"/>
    </row>
    <row r="32" spans="1:21" ht="49.5" customHeight="1" x14ac:dyDescent="0.35">
      <c r="A32" s="93"/>
      <c r="B32" s="83" t="s">
        <v>87</v>
      </c>
      <c r="C32" s="84"/>
      <c r="D32" s="51">
        <v>0.1</v>
      </c>
      <c r="E32" s="44"/>
      <c r="F32" s="104"/>
      <c r="G32" s="104"/>
      <c r="H32" s="104"/>
      <c r="I32" s="44"/>
      <c r="J32" s="82"/>
      <c r="K32" s="82"/>
      <c r="L32" s="82"/>
      <c r="M32" s="44"/>
      <c r="N32" s="82"/>
      <c r="O32" s="82"/>
      <c r="P32" s="82"/>
      <c r="Q32" s="44"/>
      <c r="R32" s="82"/>
      <c r="S32" s="82"/>
      <c r="T32" s="82"/>
      <c r="U32" s="19"/>
    </row>
    <row r="33" spans="1:21" ht="26" x14ac:dyDescent="0.35">
      <c r="A33" s="94"/>
      <c r="B33" s="89" t="s">
        <v>66</v>
      </c>
      <c r="C33" s="91"/>
      <c r="D33" s="45"/>
      <c r="E33" s="52" t="e">
        <f>AVERAGE(E28:E32)</f>
        <v>#DIV/0!</v>
      </c>
      <c r="F33" s="89"/>
      <c r="G33" s="90"/>
      <c r="H33" s="91"/>
      <c r="I33" s="52" t="e">
        <f>AVERAGE(I28:I32)</f>
        <v>#DIV/0!</v>
      </c>
      <c r="J33" s="89"/>
      <c r="K33" s="90"/>
      <c r="L33" s="91"/>
      <c r="M33" s="52" t="e">
        <f>AVERAGE(M28:M32)</f>
        <v>#DIV/0!</v>
      </c>
      <c r="N33" s="89"/>
      <c r="O33" s="90"/>
      <c r="P33" s="91"/>
      <c r="Q33" s="52" t="e">
        <f>AVERAGE(Q28:Q32)</f>
        <v>#DIV/0!</v>
      </c>
      <c r="R33" s="89"/>
      <c r="S33" s="90"/>
      <c r="T33" s="91"/>
      <c r="U33" s="19"/>
    </row>
    <row r="34" spans="1:21" ht="26.25" customHeight="1" x14ac:dyDescent="0.35">
      <c r="A34" s="95" t="s">
        <v>98</v>
      </c>
      <c r="B34" s="87" t="s">
        <v>100</v>
      </c>
      <c r="C34" s="88"/>
      <c r="D34" s="30"/>
      <c r="E34" s="47"/>
      <c r="F34" s="48"/>
      <c r="G34" s="48"/>
      <c r="H34" s="48"/>
      <c r="I34" s="47"/>
      <c r="J34" s="48"/>
      <c r="K34" s="48"/>
      <c r="L34" s="48"/>
      <c r="M34" s="47"/>
      <c r="N34" s="49"/>
      <c r="O34" s="48"/>
      <c r="P34" s="48"/>
      <c r="Q34" s="47"/>
      <c r="R34" s="48"/>
      <c r="S34" s="48"/>
      <c r="T34" s="50"/>
      <c r="U34" s="19"/>
    </row>
    <row r="35" spans="1:21" ht="57" customHeight="1" x14ac:dyDescent="0.35">
      <c r="A35" s="96"/>
      <c r="B35" s="85" t="s">
        <v>96</v>
      </c>
      <c r="C35" s="86"/>
      <c r="D35" s="42"/>
      <c r="E35" s="44"/>
      <c r="F35" s="104"/>
      <c r="G35" s="104"/>
      <c r="H35" s="104"/>
      <c r="I35" s="44"/>
      <c r="J35" s="82"/>
      <c r="K35" s="82"/>
      <c r="L35" s="82"/>
      <c r="M35" s="44"/>
      <c r="N35" s="82"/>
      <c r="O35" s="82"/>
      <c r="P35" s="82"/>
      <c r="Q35" s="44"/>
      <c r="R35" s="82"/>
      <c r="S35" s="82"/>
      <c r="T35" s="82"/>
      <c r="U35" s="19"/>
    </row>
    <row r="36" spans="1:21" ht="57" customHeight="1" x14ac:dyDescent="0.35">
      <c r="A36" s="96"/>
      <c r="B36" s="85" t="s">
        <v>97</v>
      </c>
      <c r="C36" s="86"/>
      <c r="D36" s="51"/>
      <c r="E36" s="44"/>
      <c r="F36" s="104"/>
      <c r="G36" s="104"/>
      <c r="H36" s="104"/>
      <c r="I36" s="44"/>
      <c r="J36" s="82"/>
      <c r="K36" s="82"/>
      <c r="L36" s="82"/>
      <c r="M36" s="44"/>
      <c r="N36" s="82"/>
      <c r="O36" s="82"/>
      <c r="P36" s="82"/>
      <c r="Q36" s="44"/>
      <c r="R36" s="82"/>
      <c r="S36" s="82"/>
      <c r="T36" s="82"/>
      <c r="U36" s="19"/>
    </row>
    <row r="37" spans="1:21" ht="26" x14ac:dyDescent="0.35">
      <c r="A37" s="96"/>
      <c r="B37" s="89" t="s">
        <v>66</v>
      </c>
      <c r="C37" s="91"/>
      <c r="D37" s="45"/>
      <c r="E37" s="52" t="e">
        <f>AVERAGE(E35:E36)</f>
        <v>#DIV/0!</v>
      </c>
      <c r="F37" s="89"/>
      <c r="G37" s="90"/>
      <c r="H37" s="91"/>
      <c r="I37" s="52" t="e">
        <f>AVERAGE(I35:I36)</f>
        <v>#DIV/0!</v>
      </c>
      <c r="J37" s="89"/>
      <c r="K37" s="90"/>
      <c r="L37" s="91"/>
      <c r="M37" s="52" t="e">
        <f>AVERAGE(M35:M36)</f>
        <v>#DIV/0!</v>
      </c>
      <c r="N37" s="89"/>
      <c r="O37" s="90"/>
      <c r="P37" s="91"/>
      <c r="Q37" s="52" t="e">
        <f>AVERAGE(Q35:Q36)</f>
        <v>#DIV/0!</v>
      </c>
      <c r="R37" s="89"/>
      <c r="S37" s="90"/>
      <c r="T37" s="91"/>
      <c r="U37" s="19"/>
    </row>
    <row r="38" spans="1:21" ht="21" customHeight="1" x14ac:dyDescent="0.35">
      <c r="A38" s="55"/>
      <c r="B38" s="164" t="s">
        <v>17</v>
      </c>
      <c r="C38" s="165"/>
      <c r="D38" s="53"/>
      <c r="E38" s="54" t="e">
        <f>AVERAGE(E37,E26,E18)</f>
        <v>#DIV/0!</v>
      </c>
      <c r="F38" s="164"/>
      <c r="G38" s="166"/>
      <c r="H38" s="165"/>
      <c r="I38" s="54" t="e">
        <f>AVERAGE(I37,I26,I18,I33)</f>
        <v>#DIV/0!</v>
      </c>
      <c r="J38" s="164"/>
      <c r="K38" s="166"/>
      <c r="L38" s="165"/>
      <c r="M38" s="54" t="e">
        <f>AVERAGE(M37,M26,M18)</f>
        <v>#DIV/0!</v>
      </c>
      <c r="N38" s="164"/>
      <c r="O38" s="166"/>
      <c r="P38" s="165"/>
      <c r="Q38" s="54" t="e">
        <f>AVERAGE(Q37,Q26,Q18)</f>
        <v>#DIV/0!</v>
      </c>
      <c r="R38" s="164"/>
      <c r="S38" s="166"/>
      <c r="T38" s="165"/>
      <c r="U38" s="19"/>
    </row>
    <row r="39" spans="1:21" ht="82.5" customHeight="1" x14ac:dyDescent="0.35">
      <c r="A39" s="158"/>
      <c r="B39" s="159"/>
      <c r="C39" s="159"/>
      <c r="D39" s="160"/>
      <c r="E39" s="161"/>
      <c r="F39" s="162"/>
      <c r="G39" s="162"/>
      <c r="H39" s="163"/>
      <c r="I39" s="161"/>
      <c r="J39" s="162"/>
      <c r="K39" s="162"/>
      <c r="L39" s="163"/>
      <c r="M39" s="161"/>
      <c r="N39" s="162"/>
      <c r="O39" s="162"/>
      <c r="P39" s="163"/>
      <c r="Q39" s="167"/>
      <c r="R39" s="168"/>
      <c r="S39" s="168"/>
      <c r="T39" s="169"/>
      <c r="U39" s="19"/>
    </row>
    <row r="40" spans="1:21" x14ac:dyDescent="0.35">
      <c r="E40" s="16"/>
    </row>
  </sheetData>
  <mergeCells count="186">
    <mergeCell ref="S2:T2"/>
    <mergeCell ref="B3:D3"/>
    <mergeCell ref="E3:H3"/>
    <mergeCell ref="I3:J3"/>
    <mergeCell ref="K3:L3"/>
    <mergeCell ref="M3:N3"/>
    <mergeCell ref="Q3:R3"/>
    <mergeCell ref="S3:T3"/>
    <mergeCell ref="A1:H1"/>
    <mergeCell ref="I1:T1"/>
    <mergeCell ref="A2:A8"/>
    <mergeCell ref="C2:D2"/>
    <mergeCell ref="E2:F2"/>
    <mergeCell ref="G2:H2"/>
    <mergeCell ref="I2:J2"/>
    <mergeCell ref="K2:L2"/>
    <mergeCell ref="M2:N2"/>
    <mergeCell ref="Q2:R2"/>
    <mergeCell ref="B4:D4"/>
    <mergeCell ref="E4:H4"/>
    <mergeCell ref="I4:L4"/>
    <mergeCell ref="M4:P4"/>
    <mergeCell ref="Q4:T4"/>
    <mergeCell ref="C5:D5"/>
    <mergeCell ref="E5:H5"/>
    <mergeCell ref="I5:L5"/>
    <mergeCell ref="M5:P5"/>
    <mergeCell ref="Q5:T5"/>
    <mergeCell ref="Q8:T8"/>
    <mergeCell ref="C9:D9"/>
    <mergeCell ref="E9:F9"/>
    <mergeCell ref="G9:H9"/>
    <mergeCell ref="I9:J9"/>
    <mergeCell ref="K9:L9"/>
    <mergeCell ref="B6:D6"/>
    <mergeCell ref="E6:H6"/>
    <mergeCell ref="I6:L6"/>
    <mergeCell ref="M6:P6"/>
    <mergeCell ref="Q6:T6"/>
    <mergeCell ref="C7:D7"/>
    <mergeCell ref="E7:G7"/>
    <mergeCell ref="I7:K7"/>
    <mergeCell ref="M7:O7"/>
    <mergeCell ref="Q7:S7"/>
    <mergeCell ref="A11:A18"/>
    <mergeCell ref="B11:C11"/>
    <mergeCell ref="B12:C12"/>
    <mergeCell ref="F12:H12"/>
    <mergeCell ref="J12:L12"/>
    <mergeCell ref="B8:D8"/>
    <mergeCell ref="E8:H8"/>
    <mergeCell ref="I8:L8"/>
    <mergeCell ref="M8:P8"/>
    <mergeCell ref="N12:P12"/>
    <mergeCell ref="B14:C14"/>
    <mergeCell ref="F14:H14"/>
    <mergeCell ref="J14:L14"/>
    <mergeCell ref="N14:P14"/>
    <mergeCell ref="B17:C17"/>
    <mergeCell ref="F17:H17"/>
    <mergeCell ref="J17:L17"/>
    <mergeCell ref="N17:P17"/>
    <mergeCell ref="R12:T12"/>
    <mergeCell ref="B13:C13"/>
    <mergeCell ref="F13:H13"/>
    <mergeCell ref="J13:L13"/>
    <mergeCell ref="N13:P13"/>
    <mergeCell ref="R13:T13"/>
    <mergeCell ref="M9:N9"/>
    <mergeCell ref="O9:P9"/>
    <mergeCell ref="Q9:R9"/>
    <mergeCell ref="S9:T9"/>
    <mergeCell ref="B10:T10"/>
    <mergeCell ref="R14:T14"/>
    <mergeCell ref="B15:C15"/>
    <mergeCell ref="F15:H15"/>
    <mergeCell ref="J15:L15"/>
    <mergeCell ref="N15:P15"/>
    <mergeCell ref="R15:T15"/>
    <mergeCell ref="B16:C16"/>
    <mergeCell ref="F16:H16"/>
    <mergeCell ref="J16:L16"/>
    <mergeCell ref="N16:P16"/>
    <mergeCell ref="R16:T16"/>
    <mergeCell ref="R17:T17"/>
    <mergeCell ref="N20:P20"/>
    <mergeCell ref="R20:T20"/>
    <mergeCell ref="B21:C21"/>
    <mergeCell ref="F21:H21"/>
    <mergeCell ref="J21:L21"/>
    <mergeCell ref="N21:P21"/>
    <mergeCell ref="R21:T21"/>
    <mergeCell ref="B18:C18"/>
    <mergeCell ref="F18:H18"/>
    <mergeCell ref="J18:L18"/>
    <mergeCell ref="N18:P18"/>
    <mergeCell ref="R18:T18"/>
    <mergeCell ref="B19:C19"/>
    <mergeCell ref="B20:C20"/>
    <mergeCell ref="F20:H20"/>
    <mergeCell ref="J20:L20"/>
    <mergeCell ref="B22:C22"/>
    <mergeCell ref="F22:H22"/>
    <mergeCell ref="J22:L22"/>
    <mergeCell ref="N22:P22"/>
    <mergeCell ref="R22:T22"/>
    <mergeCell ref="B23:C23"/>
    <mergeCell ref="F23:H23"/>
    <mergeCell ref="J23:L23"/>
    <mergeCell ref="N23:P23"/>
    <mergeCell ref="R23:T23"/>
    <mergeCell ref="R26:T26"/>
    <mergeCell ref="B27:C27"/>
    <mergeCell ref="B28:C28"/>
    <mergeCell ref="F28:H28"/>
    <mergeCell ref="J28:L28"/>
    <mergeCell ref="R30:T30"/>
    <mergeCell ref="R24:T24"/>
    <mergeCell ref="B25:C25"/>
    <mergeCell ref="F25:H25"/>
    <mergeCell ref="J25:L25"/>
    <mergeCell ref="N25:P25"/>
    <mergeCell ref="R25:T25"/>
    <mergeCell ref="B24:C24"/>
    <mergeCell ref="F24:H24"/>
    <mergeCell ref="J24:L24"/>
    <mergeCell ref="N24:P24"/>
    <mergeCell ref="J31:L31"/>
    <mergeCell ref="N31:P31"/>
    <mergeCell ref="R31:T31"/>
    <mergeCell ref="B32:C32"/>
    <mergeCell ref="F32:H32"/>
    <mergeCell ref="J32:L32"/>
    <mergeCell ref="N32:P32"/>
    <mergeCell ref="R32:T32"/>
    <mergeCell ref="A19:A26"/>
    <mergeCell ref="N28:P28"/>
    <mergeCell ref="B30:C30"/>
    <mergeCell ref="F30:H30"/>
    <mergeCell ref="J30:L30"/>
    <mergeCell ref="N30:P30"/>
    <mergeCell ref="R28:T28"/>
    <mergeCell ref="B29:C29"/>
    <mergeCell ref="F29:H29"/>
    <mergeCell ref="J29:L29"/>
    <mergeCell ref="N29:P29"/>
    <mergeCell ref="R29:T29"/>
    <mergeCell ref="B26:C26"/>
    <mergeCell ref="F26:H26"/>
    <mergeCell ref="J26:L26"/>
    <mergeCell ref="N26:P26"/>
    <mergeCell ref="R33:T33"/>
    <mergeCell ref="R35:T35"/>
    <mergeCell ref="B36:C36"/>
    <mergeCell ref="F36:H36"/>
    <mergeCell ref="J36:L36"/>
    <mergeCell ref="N36:P36"/>
    <mergeCell ref="R36:T36"/>
    <mergeCell ref="A34:A37"/>
    <mergeCell ref="B34:C34"/>
    <mergeCell ref="B35:C35"/>
    <mergeCell ref="F35:H35"/>
    <mergeCell ref="J35:L35"/>
    <mergeCell ref="N35:P35"/>
    <mergeCell ref="B37:C37"/>
    <mergeCell ref="F37:H37"/>
    <mergeCell ref="J37:L37"/>
    <mergeCell ref="N37:P37"/>
    <mergeCell ref="A27:A33"/>
    <mergeCell ref="B33:C33"/>
    <mergeCell ref="F33:H33"/>
    <mergeCell ref="J33:L33"/>
    <mergeCell ref="N33:P33"/>
    <mergeCell ref="B31:C31"/>
    <mergeCell ref="F31:H31"/>
    <mergeCell ref="A39:D39"/>
    <mergeCell ref="E39:H39"/>
    <mergeCell ref="I39:L39"/>
    <mergeCell ref="M39:P39"/>
    <mergeCell ref="Q39:T39"/>
    <mergeCell ref="R37:T37"/>
    <mergeCell ref="B38:C38"/>
    <mergeCell ref="F38:H38"/>
    <mergeCell ref="J38:L38"/>
    <mergeCell ref="N38:P38"/>
    <mergeCell ref="R38:T38"/>
  </mergeCells>
  <printOptions horizontalCentered="1" verticalCentered="1"/>
  <pageMargins left="0" right="0" top="0" bottom="0" header="0" footer="0"/>
  <pageSetup paperSize="9" scale="3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35"/>
    <pageSetUpPr fitToPage="1"/>
  </sheetPr>
  <dimension ref="A1:H44"/>
  <sheetViews>
    <sheetView view="pageBreakPreview" topLeftCell="A28" zoomScale="60" zoomScaleNormal="60" workbookViewId="0">
      <selection activeCell="C7" sqref="A7:F8"/>
    </sheetView>
  </sheetViews>
  <sheetFormatPr defaultColWidth="11.453125" defaultRowHeight="14.5" x14ac:dyDescent="0.35"/>
  <cols>
    <col min="1" max="1" width="15.453125" customWidth="1"/>
    <col min="3" max="3" width="19.1796875" customWidth="1"/>
    <col min="4" max="4" width="28.26953125" customWidth="1"/>
    <col min="5" max="5" width="8.453125" customWidth="1"/>
    <col min="6" max="6" width="14.81640625" customWidth="1"/>
  </cols>
  <sheetData>
    <row r="1" spans="1:8" ht="15" customHeight="1" x14ac:dyDescent="0.35">
      <c r="A1" s="171"/>
      <c r="B1" s="172"/>
      <c r="C1" s="172"/>
      <c r="D1" s="172"/>
      <c r="E1" s="172"/>
      <c r="F1" s="173"/>
    </row>
    <row r="2" spans="1:8" ht="76" customHeight="1" x14ac:dyDescent="0.35">
      <c r="A2" s="174"/>
      <c r="B2" s="175"/>
      <c r="C2" s="175"/>
      <c r="D2" s="175"/>
      <c r="E2" s="175"/>
      <c r="F2" s="176"/>
    </row>
    <row r="3" spans="1:8" ht="26.25" customHeight="1" x14ac:dyDescent="0.35">
      <c r="A3" s="177"/>
      <c r="B3" s="178"/>
      <c r="C3" s="178"/>
      <c r="D3" s="178"/>
      <c r="E3" s="178"/>
      <c r="F3" s="179"/>
      <c r="H3" s="14"/>
    </row>
    <row r="4" spans="1:8" x14ac:dyDescent="0.35">
      <c r="A4" s="180" t="s">
        <v>61</v>
      </c>
      <c r="B4" s="181"/>
      <c r="C4" s="181"/>
      <c r="D4" s="181"/>
      <c r="E4" s="181"/>
      <c r="F4" s="182"/>
    </row>
    <row r="5" spans="1:8" ht="19.5" customHeight="1" x14ac:dyDescent="0.35">
      <c r="A5" s="183"/>
      <c r="B5" s="184"/>
      <c r="C5" s="184"/>
      <c r="D5" s="184"/>
      <c r="E5" s="184"/>
      <c r="F5" s="185"/>
      <c r="H5" s="56">
        <v>46182</v>
      </c>
    </row>
    <row r="6" spans="1:8" x14ac:dyDescent="0.35">
      <c r="A6" s="3"/>
      <c r="B6" s="1"/>
      <c r="C6" s="1"/>
      <c r="D6" s="1"/>
      <c r="E6" s="1"/>
      <c r="F6" s="2"/>
    </row>
    <row r="7" spans="1:8" ht="30.75" customHeight="1" x14ac:dyDescent="0.6">
      <c r="A7" s="8"/>
      <c r="F7" s="9"/>
    </row>
    <row r="8" spans="1:8" ht="19.5" x14ac:dyDescent="0.45">
      <c r="A8" s="186" t="s">
        <v>26</v>
      </c>
      <c r="B8" s="187"/>
      <c r="C8" s="187"/>
      <c r="F8" s="4"/>
    </row>
    <row r="9" spans="1:8" x14ac:dyDescent="0.35">
      <c r="A9" s="8"/>
      <c r="F9" s="4"/>
    </row>
    <row r="10" spans="1:8" ht="15.5" x14ac:dyDescent="0.35">
      <c r="A10" s="10" t="s">
        <v>27</v>
      </c>
      <c r="B10" s="11" t="s">
        <v>28</v>
      </c>
      <c r="D10" s="188" t="s">
        <v>57</v>
      </c>
      <c r="E10" s="188"/>
      <c r="F10" s="4"/>
    </row>
    <row r="11" spans="1:8" ht="15.5" x14ac:dyDescent="0.35">
      <c r="A11" s="10" t="s">
        <v>29</v>
      </c>
      <c r="B11" s="11" t="s">
        <v>30</v>
      </c>
      <c r="D11" s="188"/>
      <c r="E11" s="188"/>
      <c r="F11" s="4"/>
    </row>
    <row r="12" spans="1:8" ht="15.5" x14ac:dyDescent="0.35">
      <c r="A12" s="10" t="s">
        <v>31</v>
      </c>
      <c r="B12" s="11" t="s">
        <v>32</v>
      </c>
      <c r="D12" s="188"/>
      <c r="E12" s="188"/>
      <c r="F12" s="4"/>
    </row>
    <row r="13" spans="1:8" ht="15.5" x14ac:dyDescent="0.35">
      <c r="A13" s="10" t="s">
        <v>33</v>
      </c>
      <c r="B13" s="11" t="s">
        <v>58</v>
      </c>
      <c r="D13" s="189" t="s">
        <v>34</v>
      </c>
      <c r="E13" s="189"/>
      <c r="F13" s="4"/>
    </row>
    <row r="14" spans="1:8" ht="15.5" x14ac:dyDescent="0.35">
      <c r="A14" s="10" t="s">
        <v>35</v>
      </c>
      <c r="B14" s="11" t="s">
        <v>59</v>
      </c>
      <c r="D14" s="189"/>
      <c r="E14" s="189"/>
      <c r="F14" s="4"/>
    </row>
    <row r="15" spans="1:8" ht="15.5" x14ac:dyDescent="0.35">
      <c r="A15" s="10" t="s">
        <v>36</v>
      </c>
      <c r="B15" s="11" t="s">
        <v>18</v>
      </c>
      <c r="D15" s="170" t="s">
        <v>18</v>
      </c>
      <c r="E15" s="170"/>
      <c r="F15" s="4"/>
    </row>
    <row r="16" spans="1:8" ht="15.5" x14ac:dyDescent="0.35">
      <c r="A16" s="10" t="s">
        <v>37</v>
      </c>
      <c r="B16" s="11" t="s">
        <v>38</v>
      </c>
      <c r="D16" s="170"/>
      <c r="E16" s="170"/>
      <c r="F16" s="4"/>
    </row>
    <row r="17" spans="1:6" ht="15.5" x14ac:dyDescent="0.35">
      <c r="A17" s="10" t="s">
        <v>39</v>
      </c>
      <c r="B17" s="11" t="s">
        <v>40</v>
      </c>
      <c r="D17" s="170"/>
      <c r="E17" s="170"/>
      <c r="F17" s="4"/>
    </row>
    <row r="18" spans="1:6" x14ac:dyDescent="0.35">
      <c r="A18" s="8"/>
      <c r="F18" s="4"/>
    </row>
    <row r="19" spans="1:6" x14ac:dyDescent="0.35">
      <c r="A19" s="8"/>
      <c r="F19" s="4"/>
    </row>
    <row r="20" spans="1:6" ht="15.5" x14ac:dyDescent="0.35">
      <c r="A20" s="10"/>
      <c r="F20" s="4"/>
    </row>
    <row r="21" spans="1:6" ht="15.5" x14ac:dyDescent="0.35">
      <c r="A21" s="10"/>
      <c r="F21" s="4"/>
    </row>
    <row r="22" spans="1:6" x14ac:dyDescent="0.35">
      <c r="A22" s="8"/>
      <c r="F22" s="4"/>
    </row>
    <row r="23" spans="1:6" x14ac:dyDescent="0.35">
      <c r="A23" s="8"/>
      <c r="F23" s="4"/>
    </row>
    <row r="24" spans="1:6" x14ac:dyDescent="0.35">
      <c r="A24" s="12" t="s">
        <v>41</v>
      </c>
      <c r="B24" t="s">
        <v>42</v>
      </c>
      <c r="F24" s="4"/>
    </row>
    <row r="25" spans="1:6" x14ac:dyDescent="0.35">
      <c r="A25" s="8"/>
      <c r="F25" s="4"/>
    </row>
    <row r="26" spans="1:6" x14ac:dyDescent="0.35">
      <c r="A26" s="8"/>
      <c r="F26" s="4"/>
    </row>
    <row r="27" spans="1:6" x14ac:dyDescent="0.35">
      <c r="A27" s="12" t="s">
        <v>43</v>
      </c>
      <c r="B27" t="s">
        <v>44</v>
      </c>
      <c r="F27" s="4"/>
    </row>
    <row r="28" spans="1:6" x14ac:dyDescent="0.35">
      <c r="A28" s="8"/>
      <c r="B28" t="s">
        <v>45</v>
      </c>
      <c r="F28" s="4"/>
    </row>
    <row r="29" spans="1:6" x14ac:dyDescent="0.35">
      <c r="A29" s="8"/>
      <c r="B29" t="s">
        <v>46</v>
      </c>
      <c r="F29" s="4"/>
    </row>
    <row r="30" spans="1:6" x14ac:dyDescent="0.35">
      <c r="A30" s="8"/>
      <c r="F30" s="4"/>
    </row>
    <row r="31" spans="1:6" x14ac:dyDescent="0.35">
      <c r="A31" s="8"/>
      <c r="F31" s="4"/>
    </row>
    <row r="32" spans="1:6" x14ac:dyDescent="0.35">
      <c r="A32" s="8"/>
      <c r="F32" s="4"/>
    </row>
    <row r="33" spans="1:6" x14ac:dyDescent="0.35">
      <c r="A33" s="8"/>
      <c r="F33" s="4"/>
    </row>
    <row r="34" spans="1:6" x14ac:dyDescent="0.35">
      <c r="A34" s="8"/>
      <c r="F34" s="4"/>
    </row>
    <row r="35" spans="1:6" x14ac:dyDescent="0.35">
      <c r="A35" s="8"/>
      <c r="F35" s="4"/>
    </row>
    <row r="36" spans="1:6" x14ac:dyDescent="0.35">
      <c r="A36" s="8"/>
      <c r="F36" s="4"/>
    </row>
    <row r="37" spans="1:6" x14ac:dyDescent="0.35">
      <c r="A37" s="8"/>
      <c r="F37" s="4"/>
    </row>
    <row r="38" spans="1:6" x14ac:dyDescent="0.35">
      <c r="A38" s="8"/>
      <c r="F38" s="4"/>
    </row>
    <row r="39" spans="1:6" x14ac:dyDescent="0.35">
      <c r="A39" s="8"/>
      <c r="F39" s="4"/>
    </row>
    <row r="40" spans="1:6" x14ac:dyDescent="0.35">
      <c r="A40" s="8"/>
      <c r="F40" s="4"/>
    </row>
    <row r="41" spans="1:6" x14ac:dyDescent="0.35">
      <c r="A41" s="8"/>
      <c r="F41" s="4"/>
    </row>
    <row r="42" spans="1:6" x14ac:dyDescent="0.35">
      <c r="A42" s="8"/>
      <c r="F42" s="4"/>
    </row>
    <row r="43" spans="1:6" x14ac:dyDescent="0.35">
      <c r="A43" s="8"/>
      <c r="F43" s="4"/>
    </row>
    <row r="44" spans="1:6" x14ac:dyDescent="0.35">
      <c r="A44" s="13"/>
      <c r="B44" s="5"/>
      <c r="C44" s="5"/>
      <c r="D44" s="5"/>
      <c r="E44" s="5"/>
      <c r="F44" s="6"/>
    </row>
  </sheetData>
  <mergeCells count="7">
    <mergeCell ref="D15:E17"/>
    <mergeCell ref="A1:F2"/>
    <mergeCell ref="A3:F3"/>
    <mergeCell ref="A4:F5"/>
    <mergeCell ref="A8:C8"/>
    <mergeCell ref="D10:E12"/>
    <mergeCell ref="D13:E14"/>
  </mergeCells>
  <phoneticPr fontId="0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Tabelle</vt:lpstr>
      <vt:lpstr>dryhandling1</vt:lpstr>
      <vt:lpstr>dryhandling2</vt:lpstr>
      <vt:lpstr>Description</vt:lpstr>
      <vt:lpstr>Description!Print_Area</vt:lpstr>
      <vt:lpstr>dryhandling1!Print_Area</vt:lpstr>
      <vt:lpstr>dryhandling2!Print_Area</vt:lpstr>
      <vt:lpstr>Tabelle!Print_Area</vt:lpstr>
    </vt:vector>
  </TitlesOfParts>
  <Company>Apollo Tyres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R.Sven</dc:creator>
  <cp:lastModifiedBy>Kamlendra Deora</cp:lastModifiedBy>
  <cp:lastPrinted>2026-06-04T02:20:23Z</cp:lastPrinted>
  <dcterms:created xsi:type="dcterms:W3CDTF">2009-04-17T08:27:31Z</dcterms:created>
  <dcterms:modified xsi:type="dcterms:W3CDTF">2026-09-28T11:30:45Z</dcterms:modified>
</cp:coreProperties>
</file>